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sale math" sheetId="2" state="visible" r:id="rId4"/>
    <sheet name="Market price 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Assumption only. Replace with your observed refund rate once you have real sales.</t>
        </r>
      </text>
    </comment>
  </commentList>
</comments>
</file>

<file path=xl/sharedStrings.xml><?xml version="1.0" encoding="utf-8"?>
<sst xmlns="http://schemas.openxmlformats.org/spreadsheetml/2006/main" count="90" uniqueCount="63">
  <si>
    <t xml:space="preserve">Band of One: Pricing calculator</t>
  </si>
  <si>
    <t xml:space="preserve">Blue text on yellow = inputs you can change. Black = formulas. Green = links to this sheet from other tabs. No sales forecasts: this workbook only does per-sale and break-even math.</t>
  </si>
  <si>
    <t xml:space="preserve">Assumption</t>
  </si>
  <si>
    <t xml:space="preserve">Value</t>
  </si>
  <si>
    <t xml:space="preserve">Notes / source</t>
  </si>
  <si>
    <t xml:space="preserve">Gumroad fee on direct sales (percent)</t>
  </si>
  <si>
    <t xml:space="preserve">Source: Gumroad Help, 'Gumroad's fees' (gumroad.com/help/article/66-gumroads-fees), checked 2026-09-24.</t>
  </si>
  <si>
    <t xml:space="preserve">Gumroad fee on direct sales (fixed, per sale)</t>
  </si>
  <si>
    <t xml:space="preserve">Card processing (percent)</t>
  </si>
  <si>
    <t xml:space="preserve">Source: Gumroad Help, 'Gumroad's fees' (gumroad.com/help/article/66-gumroads-fees), checked 2026-09-24. PayPal fees differ; card rate used as the base case.</t>
  </si>
  <si>
    <t xml:space="preserve">Card processing (fixed, per sale)</t>
  </si>
  <si>
    <t xml:space="preserve">Gumroad Discover marketplace fee (flat, incl. processing)</t>
  </si>
  <si>
    <t xml:space="preserve">Source: Gumroad Help, 'Gumroad's fees' (gumroad.com/help/article/66-gumroads-fees), checked 2026-09-24. Applies only to sales Gumroad's marketplace brings you.</t>
  </si>
  <si>
    <t xml:space="preserve">Refund rate (assumption)</t>
  </si>
  <si>
    <t xml:space="preserve">ASSUMPTION, not data: 5% of sales refunded. Replace with your real rate after 30+ sales (Dashboard → Refunds).</t>
  </si>
  <si>
    <t xml:space="preserve">Affiliate commission (if an affiliate made the sale)</t>
  </si>
  <si>
    <t xml:space="preserve">0% by default. Gumroad lets you set 1–75%; fees are shared in proportion (gumroad.com/help/article/333). Try 30% to see the effect.</t>
  </si>
  <si>
    <t xml:space="preserve">Monthly tool costs to cover</t>
  </si>
  <si>
    <t xml:space="preserve">Launch plan costs $0/month. Example: MailerLite Comfort is $10.80/mo billed yearly for 500 subscribers (mailerlite.com/pricing, checked 2026-09-24).</t>
  </si>
  <si>
    <t xml:space="preserve">Refund math used: Gumroad returns its own fee on the refunded amount but keeps the card-processing portion (same source). So a refunded sale costs you the processing fee.</t>
  </si>
  <si>
    <t xml:space="preserve">Sales tax/VAT: the calculator treats your price as tax-exclusive revenue. Check Gumroad's current tax help pages for how tax is collected in your buyers' locations.</t>
  </si>
  <si>
    <t xml:space="preserve">What you keep from one sale</t>
  </si>
  <si>
    <t xml:space="preserve">Prices are inputs (blue on yellow). Everything else is calculated from the Assumptions tab.</t>
  </si>
  <si>
    <t xml:space="preserve">Product</t>
  </si>
  <si>
    <t xml:space="preserve">Price tier</t>
  </si>
  <si>
    <t xml:space="preserve">Price</t>
  </si>
  <si>
    <t xml:space="preserve">Gumroad fee</t>
  </si>
  <si>
    <t xml:space="preserve">Processing</t>
  </si>
  <si>
    <t xml:space="preserve">Net: direct sale</t>
  </si>
  <si>
    <t xml:space="preserve">Fees as % of price</t>
  </si>
  <si>
    <t xml:space="preserve">Net: Discover sale</t>
  </si>
  <si>
    <t xml:space="preserve">Expected net per sale after refunds</t>
  </si>
  <si>
    <t xml:space="preserve">Net if affiliate sale</t>
  </si>
  <si>
    <t xml:space="preserve">Sales/month to cover tools</t>
  </si>
  <si>
    <t xml:space="preserve">A · The Solo Admin Playbook</t>
  </si>
  <si>
    <t xml:space="preserve">Intro</t>
  </si>
  <si>
    <t xml:space="preserve">Regular</t>
  </si>
  <si>
    <t xml:space="preserve">B · The Client Desk</t>
  </si>
  <si>
    <t xml:space="preserve">C · The Band of One Prompt Library</t>
  </si>
  <si>
    <t xml:space="preserve">Bundle · All three products</t>
  </si>
  <si>
    <t xml:space="preserve">Bundle saving vs. buying all three separately</t>
  </si>
  <si>
    <t xml:space="preserve">saved / % off</t>
  </si>
  <si>
    <t xml:space="preserve">Observed prices of comparable listings (snapshot 2026-09-24; Etsy prices can include temporary sales)</t>
  </si>
  <si>
    <t xml:space="preserve">Comparable to</t>
  </si>
  <si>
    <t xml:space="preserve">Listing (as shown)</t>
  </si>
  <si>
    <t xml:space="preserve">Price shown (USD)</t>
  </si>
  <si>
    <t xml:space="preserve">Where</t>
  </si>
  <si>
    <t xml:space="preserve">C · Prompt Library</t>
  </si>
  <si>
    <t xml:space="preserve">100 AI Prompts for Etsy Sellers | ChatGPT Claude Gemini Prompt Pack</t>
  </si>
  <si>
    <t xml:space="preserve">Etsy search 'chatgpt prompts small business'</t>
  </si>
  <si>
    <t xml:space="preserve">ChatGPT Prompts for Work &amp; Business (100)</t>
  </si>
  <si>
    <t xml:space="preserve">Claude AI Skill Pack | 1000 Skills for Small Business</t>
  </si>
  <si>
    <t xml:space="preserve">ChatGPT Prompts for Small Business 210+ AI Automation Templates</t>
  </si>
  <si>
    <t xml:space="preserve">B · Client Desk</t>
  </si>
  <si>
    <t xml:space="preserve">Client Tracker Excel CRM (inDeoDesignStudio)</t>
  </si>
  <si>
    <t xml:space="preserve">Etsy search 'freelance client tracker spreadsheet'</t>
  </si>
  <si>
    <t xml:space="preserve">Notion Freelancer Template CRM (GraceAndGrow)</t>
  </si>
  <si>
    <t xml:space="preserve">Real estate transaction tracker</t>
  </si>
  <si>
    <t xml:space="preserve">A · Playbook / Bundle</t>
  </si>
  <si>
    <t xml:space="preserve">Client onboarding Canva bundle (AmmaRoseDesigns)</t>
  </si>
  <si>
    <t xml:space="preserve">Etsy search 'client onboarding template freelancer'</t>
  </si>
  <si>
    <t xml:space="preserve">Creative Business Hub (Notion)</t>
  </si>
  <si>
    <t xml:space="preserve">Full list: Digital_Products_Business/01_Market_Research/Marketplace_Observations_2026-09-24.csv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</si>
</sst>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(0.0%\);\-"/>
    <numFmt numFmtId="166" formatCode="\$#,##0.00;&quot;($&quot;#,##0.00\);\-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A45"/>
      <name val="Arial"/>
      <family val="0"/>
      <charset val="1"/>
    </font>
    <font>
      <i val="true"/>
      <sz val="9"/>
      <color rgb="FF5660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6606B"/>
      <name val="Arial"/>
      <family val="0"/>
      <charset val="1"/>
    </font>
    <font>
      <sz val="10"/>
      <name val="Arial"/>
      <family val="2"/>
    </font>
    <font>
      <b val="true"/>
      <sz val="14"/>
      <color rgb="FF0A4A4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A4A45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4A45"/>
        <bgColor rgb="FF0F6B64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64"/>
      <rgbColor rgb="FFC0C0C0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06B"/>
      <rgbColor rgb="FF969696"/>
      <rgbColor rgb="FF0A4A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B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5" t="n">
        <v>0.1</v>
      </c>
      <c r="D5" s="6" t="s">
        <v>6</v>
      </c>
    </row>
    <row r="6" customFormat="false" ht="15" hidden="false" customHeight="false" outlineLevel="0" collapsed="false">
      <c r="B6" s="4" t="s">
        <v>7</v>
      </c>
      <c r="C6" s="7" t="n">
        <v>0.5</v>
      </c>
      <c r="D6" s="6" t="s">
        <v>6</v>
      </c>
    </row>
    <row r="7" customFormat="false" ht="22.35" hidden="false" customHeight="false" outlineLevel="0" collapsed="false">
      <c r="B7" s="4" t="s">
        <v>8</v>
      </c>
      <c r="C7" s="5" t="n">
        <v>0.029</v>
      </c>
      <c r="D7" s="6" t="s">
        <v>9</v>
      </c>
    </row>
    <row r="8" customFormat="false" ht="15" hidden="false" customHeight="false" outlineLevel="0" collapsed="false">
      <c r="B8" s="4" t="s">
        <v>10</v>
      </c>
      <c r="C8" s="7" t="n">
        <v>0.3</v>
      </c>
      <c r="D8" s="6" t="s">
        <v>6</v>
      </c>
    </row>
    <row r="9" customFormat="false" ht="22.35" hidden="false" customHeight="false" outlineLevel="0" collapsed="false">
      <c r="B9" s="4" t="s">
        <v>11</v>
      </c>
      <c r="C9" s="5" t="n">
        <v>0.3</v>
      </c>
      <c r="D9" s="6" t="s">
        <v>12</v>
      </c>
    </row>
    <row r="10" customFormat="false" ht="15" hidden="false" customHeight="false" outlineLevel="0" collapsed="false">
      <c r="B10" s="4" t="s">
        <v>13</v>
      </c>
      <c r="C10" s="5" t="n">
        <v>0.05</v>
      </c>
      <c r="D10" s="6" t="s">
        <v>14</v>
      </c>
    </row>
    <row r="11" customFormat="false" ht="15" hidden="false" customHeight="false" outlineLevel="0" collapsed="false">
      <c r="B11" s="4" t="s">
        <v>15</v>
      </c>
      <c r="C11" s="5" t="n">
        <v>0</v>
      </c>
      <c r="D11" s="6" t="s">
        <v>16</v>
      </c>
    </row>
    <row r="12" customFormat="false" ht="15" hidden="false" customHeight="false" outlineLevel="0" collapsed="false">
      <c r="B12" s="4" t="s">
        <v>17</v>
      </c>
      <c r="C12" s="7" t="n">
        <v>0</v>
      </c>
      <c r="D12" s="6" t="s">
        <v>18</v>
      </c>
    </row>
    <row r="14" customFormat="false" ht="15" hidden="false" customHeight="false" outlineLevel="0" collapsed="false">
      <c r="B14" s="2" t="s">
        <v>19</v>
      </c>
    </row>
    <row r="15" customFormat="false" ht="15" hidden="false" customHeight="false" outlineLevel="0" collapsed="false">
      <c r="B1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B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17.35" hidden="false" customHeight="false" outlineLevel="0" collapsed="false">
      <c r="B1" s="8" t="s">
        <v>21</v>
      </c>
    </row>
    <row r="2" customFormat="false" ht="15" hidden="false" customHeight="false" outlineLevel="0" collapsed="false">
      <c r="B2" s="2" t="s">
        <v>22</v>
      </c>
    </row>
    <row r="4" customFormat="false" ht="43.5" hidden="false" customHeight="true" outlineLevel="0" collapsed="false"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customFormat="false" ht="15" hidden="false" customHeight="false" outlineLevel="0" collapsed="false">
      <c r="B5" s="9" t="s">
        <v>34</v>
      </c>
      <c r="C5" s="10" t="s">
        <v>35</v>
      </c>
      <c r="D5" s="7" t="n">
        <v>19</v>
      </c>
      <c r="E5" s="11" t="n">
        <f aca="false">D5*Assumptions!$C$5+Assumptions!$C$6</f>
        <v>2.4</v>
      </c>
      <c r="F5" s="11" t="n">
        <f aca="false">D5*Assumptions!$C$7+Assumptions!$C$8</f>
        <v>0.851</v>
      </c>
      <c r="G5" s="11" t="n">
        <f aca="false">D5-E5-F5</f>
        <v>15.749</v>
      </c>
      <c r="H5" s="12" t="n">
        <f aca="false">IF(D5=0,0,(E5+F5)/D5)</f>
        <v>0.171105263157895</v>
      </c>
      <c r="I5" s="11" t="n">
        <f aca="false">D5*(1-Assumptions!$C$9)</f>
        <v>13.3</v>
      </c>
      <c r="J5" s="11" t="n">
        <f aca="false">(1-Assumptions!$C$10)*G5-Assumptions!$C$10*F5</f>
        <v>14.919</v>
      </c>
      <c r="K5" s="11" t="n">
        <f aca="false">G5*(1-Assumptions!$C$11)</f>
        <v>15.749</v>
      </c>
      <c r="L5" s="13" t="n">
        <f aca="false">IF(Assumptions!$C$12=0,0,IF(J5&lt;=0,"n/a",ROUNDUP(Assumptions!$C$12/J5,0)))</f>
        <v>0</v>
      </c>
    </row>
    <row r="6" customFormat="false" ht="15" hidden="false" customHeight="false" outlineLevel="0" collapsed="false">
      <c r="B6" s="4" t="s">
        <v>34</v>
      </c>
      <c r="C6" s="10" t="s">
        <v>36</v>
      </c>
      <c r="D6" s="7" t="n">
        <v>24</v>
      </c>
      <c r="E6" s="11" t="n">
        <f aca="false">D6*Assumptions!$C$5+Assumptions!$C$6</f>
        <v>2.9</v>
      </c>
      <c r="F6" s="11" t="n">
        <f aca="false">D6*Assumptions!$C$7+Assumptions!$C$8</f>
        <v>0.996</v>
      </c>
      <c r="G6" s="11" t="n">
        <f aca="false">D6-E6-F6</f>
        <v>20.104</v>
      </c>
      <c r="H6" s="12" t="n">
        <f aca="false">IF(D6=0,0,(E6+F6)/D6)</f>
        <v>0.162333333333333</v>
      </c>
      <c r="I6" s="11" t="n">
        <f aca="false">D6*(1-Assumptions!$C$9)</f>
        <v>16.8</v>
      </c>
      <c r="J6" s="11" t="n">
        <f aca="false">(1-Assumptions!$C$10)*G6-Assumptions!$C$10*F6</f>
        <v>19.049</v>
      </c>
      <c r="K6" s="11" t="n">
        <f aca="false">G6*(1-Assumptions!$C$11)</f>
        <v>20.104</v>
      </c>
      <c r="L6" s="13" t="n">
        <f aca="false">IF(Assumptions!$C$12=0,0,IF(J6&lt;=0,"n/a",ROUNDUP(Assumptions!$C$12/J6,0)))</f>
        <v>0</v>
      </c>
    </row>
    <row r="7" customFormat="false" ht="15" hidden="false" customHeight="false" outlineLevel="0" collapsed="false">
      <c r="B7" s="9" t="s">
        <v>37</v>
      </c>
      <c r="C7" s="10" t="s">
        <v>35</v>
      </c>
      <c r="D7" s="7" t="n">
        <v>24</v>
      </c>
      <c r="E7" s="11" t="n">
        <f aca="false">D7*Assumptions!$C$5+Assumptions!$C$6</f>
        <v>2.9</v>
      </c>
      <c r="F7" s="11" t="n">
        <f aca="false">D7*Assumptions!$C$7+Assumptions!$C$8</f>
        <v>0.996</v>
      </c>
      <c r="G7" s="11" t="n">
        <f aca="false">D7-E7-F7</f>
        <v>20.104</v>
      </c>
      <c r="H7" s="12" t="n">
        <f aca="false">IF(D7=0,0,(E7+F7)/D7)</f>
        <v>0.162333333333333</v>
      </c>
      <c r="I7" s="11" t="n">
        <f aca="false">D7*(1-Assumptions!$C$9)</f>
        <v>16.8</v>
      </c>
      <c r="J7" s="11" t="n">
        <f aca="false">(1-Assumptions!$C$10)*G7-Assumptions!$C$10*F7</f>
        <v>19.049</v>
      </c>
      <c r="K7" s="11" t="n">
        <f aca="false">G7*(1-Assumptions!$C$11)</f>
        <v>20.104</v>
      </c>
      <c r="L7" s="13" t="n">
        <f aca="false">IF(Assumptions!$C$12=0,0,IF(J7&lt;=0,"n/a",ROUNDUP(Assumptions!$C$12/J7,0)))</f>
        <v>0</v>
      </c>
    </row>
    <row r="8" customFormat="false" ht="15" hidden="false" customHeight="false" outlineLevel="0" collapsed="false">
      <c r="B8" s="4" t="s">
        <v>37</v>
      </c>
      <c r="C8" s="10" t="s">
        <v>36</v>
      </c>
      <c r="D8" s="7" t="n">
        <v>29</v>
      </c>
      <c r="E8" s="11" t="n">
        <f aca="false">D8*Assumptions!$C$5+Assumptions!$C$6</f>
        <v>3.4</v>
      </c>
      <c r="F8" s="11" t="n">
        <f aca="false">D8*Assumptions!$C$7+Assumptions!$C$8</f>
        <v>1.141</v>
      </c>
      <c r="G8" s="11" t="n">
        <f aca="false">D8-E8-F8</f>
        <v>24.459</v>
      </c>
      <c r="H8" s="12" t="n">
        <f aca="false">IF(D8=0,0,(E8+F8)/D8)</f>
        <v>0.156586206896552</v>
      </c>
      <c r="I8" s="11" t="n">
        <f aca="false">D8*(1-Assumptions!$C$9)</f>
        <v>20.3</v>
      </c>
      <c r="J8" s="11" t="n">
        <f aca="false">(1-Assumptions!$C$10)*G8-Assumptions!$C$10*F8</f>
        <v>23.179</v>
      </c>
      <c r="K8" s="11" t="n">
        <f aca="false">G8*(1-Assumptions!$C$11)</f>
        <v>24.459</v>
      </c>
      <c r="L8" s="13" t="n">
        <f aca="false">IF(Assumptions!$C$12=0,0,IF(J8&lt;=0,"n/a",ROUNDUP(Assumptions!$C$12/J8,0)))</f>
        <v>0</v>
      </c>
    </row>
    <row r="9" customFormat="false" ht="15" hidden="false" customHeight="false" outlineLevel="0" collapsed="false">
      <c r="B9" s="9" t="s">
        <v>38</v>
      </c>
      <c r="C9" s="10" t="s">
        <v>35</v>
      </c>
      <c r="D9" s="7" t="n">
        <v>15</v>
      </c>
      <c r="E9" s="11" t="n">
        <f aca="false">D9*Assumptions!$C$5+Assumptions!$C$6</f>
        <v>2</v>
      </c>
      <c r="F9" s="11" t="n">
        <f aca="false">D9*Assumptions!$C$7+Assumptions!$C$8</f>
        <v>0.735</v>
      </c>
      <c r="G9" s="11" t="n">
        <f aca="false">D9-E9-F9</f>
        <v>12.265</v>
      </c>
      <c r="H9" s="12" t="n">
        <f aca="false">IF(D9=0,0,(E9+F9)/D9)</f>
        <v>0.182333333333333</v>
      </c>
      <c r="I9" s="11" t="n">
        <f aca="false">D9*(1-Assumptions!$C$9)</f>
        <v>10.5</v>
      </c>
      <c r="J9" s="11" t="n">
        <f aca="false">(1-Assumptions!$C$10)*G9-Assumptions!$C$10*F9</f>
        <v>11.615</v>
      </c>
      <c r="K9" s="11" t="n">
        <f aca="false">G9*(1-Assumptions!$C$11)</f>
        <v>12.265</v>
      </c>
      <c r="L9" s="13" t="n">
        <f aca="false">IF(Assumptions!$C$12=0,0,IF(J9&lt;=0,"n/a",ROUNDUP(Assumptions!$C$12/J9,0)))</f>
        <v>0</v>
      </c>
    </row>
    <row r="10" customFormat="false" ht="15" hidden="false" customHeight="false" outlineLevel="0" collapsed="false">
      <c r="B10" s="4" t="s">
        <v>38</v>
      </c>
      <c r="C10" s="10" t="s">
        <v>36</v>
      </c>
      <c r="D10" s="7" t="n">
        <v>19</v>
      </c>
      <c r="E10" s="11" t="n">
        <f aca="false">D10*Assumptions!$C$5+Assumptions!$C$6</f>
        <v>2.4</v>
      </c>
      <c r="F10" s="11" t="n">
        <f aca="false">D10*Assumptions!$C$7+Assumptions!$C$8</f>
        <v>0.851</v>
      </c>
      <c r="G10" s="11" t="n">
        <f aca="false">D10-E10-F10</f>
        <v>15.749</v>
      </c>
      <c r="H10" s="12" t="n">
        <f aca="false">IF(D10=0,0,(E10+F10)/D10)</f>
        <v>0.171105263157895</v>
      </c>
      <c r="I10" s="11" t="n">
        <f aca="false">D10*(1-Assumptions!$C$9)</f>
        <v>13.3</v>
      </c>
      <c r="J10" s="11" t="n">
        <f aca="false">(1-Assumptions!$C$10)*G10-Assumptions!$C$10*F10</f>
        <v>14.919</v>
      </c>
      <c r="K10" s="11" t="n">
        <f aca="false">G10*(1-Assumptions!$C$11)</f>
        <v>15.749</v>
      </c>
      <c r="L10" s="13" t="n">
        <f aca="false">IF(Assumptions!$C$12=0,0,IF(J10&lt;=0,"n/a",ROUNDUP(Assumptions!$C$12/J10,0)))</f>
        <v>0</v>
      </c>
    </row>
    <row r="11" customFormat="false" ht="15" hidden="false" customHeight="false" outlineLevel="0" collapsed="false">
      <c r="B11" s="9" t="s">
        <v>39</v>
      </c>
      <c r="C11" s="10" t="s">
        <v>35</v>
      </c>
      <c r="D11" s="7" t="n">
        <v>39</v>
      </c>
      <c r="E11" s="11" t="n">
        <f aca="false">D11*Assumptions!$C$5+Assumptions!$C$6</f>
        <v>4.4</v>
      </c>
      <c r="F11" s="11" t="n">
        <f aca="false">D11*Assumptions!$C$7+Assumptions!$C$8</f>
        <v>1.431</v>
      </c>
      <c r="G11" s="11" t="n">
        <f aca="false">D11-E11-F11</f>
        <v>33.169</v>
      </c>
      <c r="H11" s="12" t="n">
        <f aca="false">IF(D11=0,0,(E11+F11)/D11)</f>
        <v>0.149512820512821</v>
      </c>
      <c r="I11" s="11" t="n">
        <f aca="false">D11*(1-Assumptions!$C$9)</f>
        <v>27.3</v>
      </c>
      <c r="J11" s="11" t="n">
        <f aca="false">(1-Assumptions!$C$10)*G11-Assumptions!$C$10*F11</f>
        <v>31.439</v>
      </c>
      <c r="K11" s="11" t="n">
        <f aca="false">G11*(1-Assumptions!$C$11)</f>
        <v>33.169</v>
      </c>
      <c r="L11" s="13" t="n">
        <f aca="false">IF(Assumptions!$C$12=0,0,IF(J11&lt;=0,"n/a",ROUNDUP(Assumptions!$C$12/J11,0)))</f>
        <v>0</v>
      </c>
    </row>
    <row r="12" customFormat="false" ht="15" hidden="false" customHeight="false" outlineLevel="0" collapsed="false">
      <c r="B12" s="4" t="s">
        <v>39</v>
      </c>
      <c r="C12" s="10" t="s">
        <v>36</v>
      </c>
      <c r="D12" s="7" t="n">
        <v>49</v>
      </c>
      <c r="E12" s="11" t="n">
        <f aca="false">D12*Assumptions!$C$5+Assumptions!$C$6</f>
        <v>5.4</v>
      </c>
      <c r="F12" s="11" t="n">
        <f aca="false">D12*Assumptions!$C$7+Assumptions!$C$8</f>
        <v>1.721</v>
      </c>
      <c r="G12" s="11" t="n">
        <f aca="false">D12-E12-F12</f>
        <v>41.879</v>
      </c>
      <c r="H12" s="12" t="n">
        <f aca="false">IF(D12=0,0,(E12+F12)/D12)</f>
        <v>0.145326530612245</v>
      </c>
      <c r="I12" s="11" t="n">
        <f aca="false">D12*(1-Assumptions!$C$9)</f>
        <v>34.3</v>
      </c>
      <c r="J12" s="11" t="n">
        <f aca="false">(1-Assumptions!$C$10)*G12-Assumptions!$C$10*F12</f>
        <v>39.699</v>
      </c>
      <c r="K12" s="11" t="n">
        <f aca="false">G12*(1-Assumptions!$C$11)</f>
        <v>41.879</v>
      </c>
      <c r="L12" s="13" t="n">
        <f aca="false">IF(Assumptions!$C$12=0,0,IF(J12&lt;=0,"n/a",ROUNDUP(Assumptions!$C$12/J12,0)))</f>
        <v>0</v>
      </c>
    </row>
    <row r="14" customFormat="false" ht="15" hidden="false" customHeight="false" outlineLevel="0" collapsed="false">
      <c r="B14" s="14" t="s">
        <v>40</v>
      </c>
    </row>
    <row r="15" customFormat="false" ht="15" hidden="false" customHeight="false" outlineLevel="0" collapsed="false">
      <c r="C15" s="0" t="s">
        <v>35</v>
      </c>
      <c r="D15" s="15" t="n">
        <f aca="false">(D5+D7+D9)-D11</f>
        <v>19</v>
      </c>
      <c r="E15" s="16" t="n">
        <f aca="false">IF((D5+D7+D9)=0,0,D15/(D5+D7+D9))</f>
        <v>0.327586206896552</v>
      </c>
      <c r="F15" s="17" t="s">
        <v>41</v>
      </c>
    </row>
    <row r="16" customFormat="false" ht="15" hidden="false" customHeight="false" outlineLevel="0" collapsed="false">
      <c r="C16" s="0" t="s">
        <v>36</v>
      </c>
      <c r="D16" s="15" t="n">
        <f aca="false">(D6+D8+D10)-D12</f>
        <v>23</v>
      </c>
      <c r="E16" s="16" t="n">
        <f aca="false">IF((D6+D8+D10)=0,0,D16/(D6+D8+D10))</f>
        <v>0.319444444444444</v>
      </c>
      <c r="F16" s="1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B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B1" s="18" t="s">
        <v>42</v>
      </c>
    </row>
    <row r="3" customFormat="false" ht="15" hidden="false" customHeight="false" outlineLevel="0" collapsed="false">
      <c r="B3" s="3" t="s">
        <v>43</v>
      </c>
      <c r="C3" s="3" t="s">
        <v>44</v>
      </c>
      <c r="D3" s="3" t="s">
        <v>45</v>
      </c>
      <c r="E3" s="3" t="s">
        <v>46</v>
      </c>
    </row>
    <row r="4" customFormat="false" ht="15" hidden="false" customHeight="false" outlineLevel="0" collapsed="false">
      <c r="B4" s="19" t="s">
        <v>47</v>
      </c>
      <c r="C4" s="19" t="s">
        <v>48</v>
      </c>
      <c r="D4" s="20" t="n">
        <v>5.49</v>
      </c>
      <c r="E4" s="19" t="s">
        <v>49</v>
      </c>
    </row>
    <row r="5" customFormat="false" ht="15" hidden="false" customHeight="false" outlineLevel="0" collapsed="false">
      <c r="B5" s="19" t="s">
        <v>47</v>
      </c>
      <c r="C5" s="19" t="s">
        <v>50</v>
      </c>
      <c r="D5" s="20" t="n">
        <v>8.99</v>
      </c>
      <c r="E5" s="19" t="s">
        <v>49</v>
      </c>
    </row>
    <row r="6" customFormat="false" ht="15" hidden="false" customHeight="false" outlineLevel="0" collapsed="false">
      <c r="B6" s="19" t="s">
        <v>47</v>
      </c>
      <c r="C6" s="19" t="s">
        <v>51</v>
      </c>
      <c r="D6" s="20" t="n">
        <v>14.67</v>
      </c>
      <c r="E6" s="19" t="s">
        <v>49</v>
      </c>
    </row>
    <row r="7" customFormat="false" ht="15" hidden="false" customHeight="false" outlineLevel="0" collapsed="false">
      <c r="B7" s="19" t="s">
        <v>47</v>
      </c>
      <c r="C7" s="19" t="s">
        <v>52</v>
      </c>
      <c r="D7" s="20" t="n">
        <v>19</v>
      </c>
      <c r="E7" s="19" t="s">
        <v>49</v>
      </c>
    </row>
    <row r="8" customFormat="false" ht="15" hidden="false" customHeight="false" outlineLevel="0" collapsed="false">
      <c r="B8" s="19" t="s">
        <v>53</v>
      </c>
      <c r="C8" s="19" t="s">
        <v>54</v>
      </c>
      <c r="D8" s="20" t="n">
        <v>18.71</v>
      </c>
      <c r="E8" s="19" t="s">
        <v>55</v>
      </c>
    </row>
    <row r="9" customFormat="false" ht="15" hidden="false" customHeight="false" outlineLevel="0" collapsed="false">
      <c r="B9" s="19" t="s">
        <v>53</v>
      </c>
      <c r="C9" s="19" t="s">
        <v>56</v>
      </c>
      <c r="D9" s="20" t="n">
        <v>23.55</v>
      </c>
      <c r="E9" s="19" t="s">
        <v>55</v>
      </c>
    </row>
    <row r="10" customFormat="false" ht="15" hidden="false" customHeight="false" outlineLevel="0" collapsed="false">
      <c r="B10" s="19" t="s">
        <v>53</v>
      </c>
      <c r="C10" s="19" t="s">
        <v>57</v>
      </c>
      <c r="D10" s="20" t="n">
        <v>24.99</v>
      </c>
      <c r="E10" s="19" t="s">
        <v>55</v>
      </c>
    </row>
    <row r="11" customFormat="false" ht="15" hidden="false" customHeight="false" outlineLevel="0" collapsed="false">
      <c r="B11" s="19" t="s">
        <v>58</v>
      </c>
      <c r="C11" s="19" t="s">
        <v>59</v>
      </c>
      <c r="D11" s="20" t="n">
        <v>37</v>
      </c>
      <c r="E11" s="19" t="s">
        <v>60</v>
      </c>
    </row>
    <row r="12" customFormat="false" ht="15" hidden="false" customHeight="false" outlineLevel="0" collapsed="false">
      <c r="B12" s="19" t="s">
        <v>58</v>
      </c>
      <c r="C12" s="19" t="s">
        <v>61</v>
      </c>
      <c r="D12" s="20" t="n">
        <v>97</v>
      </c>
      <c r="E12" s="19" t="s">
        <v>60</v>
      </c>
    </row>
    <row r="14" customFormat="false" ht="15" hidden="false" customHeight="false" outlineLevel="0" collapsed="false">
      <c r="B14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2026-09-24T21:35:25Z</dcterms:created>
  <dc:creator>openpyxl</dc:creator>
  <dc:description/>
  <dc:language>en-US</dc:language>
  <cp:lastModifiedBy/>
  <dcterms:modified xsi:type="dcterms:W3CDTF">2026-09-24T21:35:25Z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