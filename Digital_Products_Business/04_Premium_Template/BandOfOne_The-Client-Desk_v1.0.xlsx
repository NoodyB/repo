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Clients &amp; Pipeline" sheetId="3" state="visible" r:id="rId5"/>
    <sheet name="Projects" sheetId="4" state="visible" r:id="rId6"/>
    <sheet name="Invoices &amp; Follow-ups" sheetId="5" state="visible" r:id="rId7"/>
    <sheet name="Admin Audit" sheetId="6" state="visible" r:id="rId8"/>
    <sheet name="Prompt Log" sheetId="7" state="visible" r:id="rId9"/>
    <sheet name="SOP Library" sheetId="8" state="visible" r:id="rId10"/>
    <sheet name="Weekly Review" sheetId="9" state="visible" r:id="rId11"/>
    <sheet name="Settings" sheetId="10" state="visible" r:id="rId12"/>
  </sheets>
  <definedNames>
    <definedName function="false" hidden="true" localSheetId="2" name="_xlnm._FilterDatabase" vbProcedure="false">'Clients &amp; Pipeline'!$A$4:$T$154</definedName>
    <definedName function="false" hidden="true" localSheetId="4" name="_xlnm._FilterDatabase" vbProcedure="false">'Invoices &amp; Follow-ups'!$A$4:$R$204</definedName>
    <definedName function="false" hidden="true" localSheetId="3" name="_xlnm._FilterDatabase" vbProcedure="false">Projects!$A$4:$N$104</definedName>
    <definedName function="false" hidden="false" name="CurrencyCode" vbProcedure="false">Settings!$C$8</definedName>
    <definedName function="false" hidden="false" name="DefaultTerms" vbProcedure="false">Settings!$C$7</definedName>
    <definedName function="false" hidden="false" name="TodayDate" vbProcedure="false">Settings!$C$6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Uses TODAY() unless you type a date in 'Today override' (C9). The override is handy for testing or reviewing 'as of' a past date.</t>
        </r>
      </text>
    </comment>
    <comment ref="C9" authorId="0">
      <text>
        <r>
          <rPr>
            <sz val="10"/>
            <rFont val="Arial"/>
            <family val="2"/>
          </rPr>
          <t xml:space="preserve">Leave blank for normal use.</t>
        </r>
      </text>
    </comment>
    <comment ref="C10" authorId="0">
      <text>
        <r>
          <rPr>
            <sz val="10"/>
            <rFont val="Arial"/>
            <family val="2"/>
          </rPr>
          <t xml:space="preserve">Pick the day you'll do your weekly admin review.</t>
        </r>
      </text>
    </comment>
  </commentList>
</comments>
</file>

<file path=xl/sharedStrings.xml><?xml version="1.0" encoding="utf-8"?>
<sst xmlns="http://schemas.openxmlformats.org/spreadsheetml/2006/main" count="496" uniqueCount="367">
  <si>
    <t xml:space="preserve">The Client Desk</t>
  </si>
  <si>
    <t xml:space="preserve">A simple command center for a business of one · by Band of One · v1.0</t>
  </si>
  <si>
    <t xml:space="preserve">What this is</t>
  </si>
  <si>
    <t xml:space="preserve">One workbook for clients, pipeline, projects, invoices and payment reminders, plus the admin audit, prompt log, SOP index and weekly review from The Solo Admin Playbook.</t>
  </si>
  <si>
    <t xml:space="preserve">Works in</t>
  </si>
  <si>
    <t xml:space="preserve">Microsoft Excel 2010 or later · Google Sheets (upload, then File → Save as Google Sheets) · LibreOffice Calc. No macros, no add-ins.</t>
  </si>
  <si>
    <t xml:space="preserve">Colour key</t>
  </si>
  <si>
    <t xml:space="preserve">YELLOW cells = type here. GREY cells = calculated, don't type over them. SLATE headers = helper columns the dashboard needs (leave them).</t>
  </si>
  <si>
    <t xml:space="preserve">Step 1 · Settings</t>
  </si>
  <si>
    <t xml:space="preserve">Open the Settings tab. Enter your business name, default payment terms and currency code. Edit the Services list.</t>
  </si>
  <si>
    <t xml:space="preserve">Step 2 · Clear the sample</t>
  </si>
  <si>
    <t xml:space="preserve">Rows marked SAMPLE in the Notes column are a fictional example business. Select their YELLOW cells and press Delete. Don't delete whole rows, so the formulas stay in place.</t>
  </si>
  <si>
    <t xml:space="preserve">Step 3 · Add clients</t>
  </si>
  <si>
    <t xml:space="preserve">Clients &amp; Pipeline: one row per client or lead. Choose a Stage from the dropdown and always fill in 'Next action' and 'Next action date'.</t>
  </si>
  <si>
    <t xml:space="preserve">Step 4 · Log invoices</t>
  </si>
  <si>
    <t xml:space="preserve">Invoices &amp; Follow-ups: enter issue date, amount and (optionally) terms. Due date, status, days overdue and the next reminder stage (A–E) calculate automatically. When you send a reminder, record its stage and date.</t>
  </si>
  <si>
    <t xml:space="preserve">Step 5 · Run your audit</t>
  </si>
  <si>
    <t xml:space="preserve">Admin Audit: list recurring tasks, then score repeatability and risk. The highest-ranked tasks appear on the Dashboard. Re-estimate minutes after you change a task to measure real savings.</t>
  </si>
  <si>
    <t xml:space="preserve">Weekly habit</t>
  </si>
  <si>
    <t xml:space="preserve">Every week (Settings → review day) open the Dashboard, work through 'Next client actions' and 'Invoices needing a reminder', then log your numbers on the Weekly Review tab.</t>
  </si>
  <si>
    <t xml:space="preserve">Reminder stages</t>
  </si>
  <si>
    <t xml:space="preserve">A = heads-up 3 days before due · B = due date · C = 7 days overdue · D = 14 days overdue · E = 30 days overdue (final notice). Change the timing on Settings. Templates are in The Solo Admin Playbook, Chapter 9.</t>
  </si>
  <si>
    <t xml:space="preserve">Dates</t>
  </si>
  <si>
    <t xml:space="preserve">Type dates as YYYY-MM-DD (e.g., 2026-10-15) or in your system's date format. 'Today' comes from your computer clock unless you set an override on Settings.</t>
  </si>
  <si>
    <t xml:space="preserve">Capacity</t>
  </si>
  <si>
    <t xml:space="preserve">Clients: 150 rows · Invoices: 200 rows · Projects: 100 rows · Audit: 40 rows. To add more, copy the last row down (formulas copy with it).</t>
  </si>
  <si>
    <t xml:space="preserve">Privacy</t>
  </si>
  <si>
    <t xml:space="preserve">This file lives on your computer or your own cloud drive. Nothing is sent anywhere. Keep it private: it contains client details.</t>
  </si>
  <si>
    <t xml:space="preserve">Not advice</t>
  </si>
  <si>
    <t xml:space="preserve">The workbook helps you organize information. It isn't accounting, tax or legal software. Keep your official records in the tools your accountant recommends.</t>
  </si>
  <si>
    <t xml:space="preserve">License</t>
  </si>
  <si>
    <t xml:space="preserve">Personal business use by the purchaser. Don't resell or redistribute the file. See LICENSE.txt in your download.</t>
  </si>
  <si>
    <t xml:space="preserve">Active clients</t>
  </si>
  <si>
    <t xml:space="preserve">Reminders to send</t>
  </si>
  <si>
    <t xml:space="preserve">Follow-ups overdue</t>
  </si>
  <si>
    <t xml:space="preserve">Follow-ups this week</t>
  </si>
  <si>
    <t xml:space="preserve">Admin hours / month</t>
  </si>
  <si>
    <t xml:space="preserve">Next client actions</t>
  </si>
  <si>
    <t xml:space="preserve">Invoices needing a reminder</t>
  </si>
  <si>
    <t xml:space="preserve">Client</t>
  </si>
  <si>
    <t xml:space="preserve">Next action</t>
  </si>
  <si>
    <t xml:space="preserve">Date</t>
  </si>
  <si>
    <t xml:space="preserve">Status</t>
  </si>
  <si>
    <t xml:space="preserve">Invoice #</t>
  </si>
  <si>
    <t xml:space="preserve">Balance</t>
  </si>
  <si>
    <t xml:space="preserve">Action</t>
  </si>
  <si>
    <t xml:space="preserve">Top admin tasks to fix first</t>
  </si>
  <si>
    <t xml:space="preserve">Clients by stage</t>
  </si>
  <si>
    <t xml:space="preserve">Task</t>
  </si>
  <si>
    <t xml:space="preserve">Minutes / month</t>
  </si>
  <si>
    <t xml:space="preserve">Priority</t>
  </si>
  <si>
    <t xml:space="preserve">Decision</t>
  </si>
  <si>
    <t xml:space="preserve">Stage</t>
  </si>
  <si>
    <t xml:space="preserve">Clients</t>
  </si>
  <si>
    <t xml:space="preserve">Value</t>
  </si>
  <si>
    <t xml:space="preserve">Tip: sort or filter the other tabs any time. The dashboard reads the whole range.</t>
  </si>
  <si>
    <t xml:space="preserve">Clients &amp; Pipeline</t>
  </si>
  <si>
    <t xml:space="preserve">One row per client or lead. Update the Stage and Next action date and everything else calculates.</t>
  </si>
  <si>
    <t xml:space="preserve">Yellow cells = type here   ·   Grey cells = calculated (don't type)   ·   Slate headers = helper columns</t>
  </si>
  <si>
    <t xml:space="preserve">Client ID</t>
  </si>
  <si>
    <t xml:space="preserve">Client / company</t>
  </si>
  <si>
    <t xml:space="preserve">Contact name</t>
  </si>
  <si>
    <t xml:space="preserve">Email</t>
  </si>
  <si>
    <t xml:space="preserve">Service</t>
  </si>
  <si>
    <t xml:space="preserve">Source</t>
  </si>
  <si>
    <t xml:space="preserve">Project value</t>
  </si>
  <si>
    <t xml:space="preserve">Win %</t>
  </si>
  <si>
    <t xml:space="preserve">Weighted value</t>
  </si>
  <si>
    <t xml:space="preserve">Group</t>
  </si>
  <si>
    <t xml:space="preserve">First contact</t>
  </si>
  <si>
    <t xml:space="preserve">Proposal sent</t>
  </si>
  <si>
    <t xml:space="preserve">Next action date</t>
  </si>
  <si>
    <t xml:space="preserve">Days until next action</t>
  </si>
  <si>
    <t xml:space="preserve">Action status</t>
  </si>
  <si>
    <t xml:space="preserve">Project end date</t>
  </si>
  <si>
    <t xml:space="preserve">90-day check-in</t>
  </si>
  <si>
    <t xml:space="preserve">Notes</t>
  </si>
  <si>
    <t xml:space="preserve">Active flag</t>
  </si>
  <si>
    <t xml:space="preserve">Action rank</t>
  </si>
  <si>
    <t xml:space="preserve">Harbor Dental Studio</t>
  </si>
  <si>
    <t xml:space="preserve">Dr. Lee (fictional)</t>
  </si>
  <si>
    <t xml:space="preserve">office@example.com</t>
  </si>
  <si>
    <t xml:space="preserve">Website design</t>
  </si>
  <si>
    <t xml:space="preserve">Referral</t>
  </si>
  <si>
    <t xml:space="preserve">5 · Delivery</t>
  </si>
  <si>
    <t xml:space="preserve">Send weekly update</t>
  </si>
  <si>
    <t xml:space="preserve">SAMPLE</t>
  </si>
  <si>
    <t xml:space="preserve">Oak &amp; Pine Law</t>
  </si>
  <si>
    <t xml:space="preserve">J. Patel (fictional)</t>
  </si>
  <si>
    <t xml:space="preserve">jp@example.com</t>
  </si>
  <si>
    <t xml:space="preserve">LinkedIn</t>
  </si>
  <si>
    <t xml:space="preserve">3 · Proposal sent</t>
  </si>
  <si>
    <t xml:space="preserve">Proposal follow-up (day 7)</t>
  </si>
  <si>
    <t xml:space="preserve">Brightside Physio</t>
  </si>
  <si>
    <t xml:space="preserve">M. Chen (fictional)</t>
  </si>
  <si>
    <t xml:space="preserve">hello@example.com</t>
  </si>
  <si>
    <t xml:space="preserve">Website care plan</t>
  </si>
  <si>
    <t xml:space="preserve">Website</t>
  </si>
  <si>
    <t xml:space="preserve">2 · Discovery</t>
  </si>
  <si>
    <t xml:space="preserve">Send call summary</t>
  </si>
  <si>
    <t xml:space="preserve">Northfield Accounting</t>
  </si>
  <si>
    <t xml:space="preserve">R. Gomez (fictional)</t>
  </si>
  <si>
    <t xml:space="preserve">rg@example.com</t>
  </si>
  <si>
    <t xml:space="preserve">Past client</t>
  </si>
  <si>
    <t xml:space="preserve">4 · Onboarding</t>
  </si>
  <si>
    <t xml:space="preserve">Kickoff call prep</t>
  </si>
  <si>
    <t xml:space="preserve">Cedar Yoga</t>
  </si>
  <si>
    <t xml:space="preserve">A. Novak (fictional)</t>
  </si>
  <si>
    <t xml:space="preserve">studio@example.com</t>
  </si>
  <si>
    <t xml:space="preserve">Strategy session</t>
  </si>
  <si>
    <t xml:space="preserve">Instagram</t>
  </si>
  <si>
    <t xml:space="preserve">1 · Inquiry</t>
  </si>
  <si>
    <t xml:space="preserve">Reply to inquiry</t>
  </si>
  <si>
    <t xml:space="preserve">Maple Street Bakery</t>
  </si>
  <si>
    <t xml:space="preserve">T. Brown (fictional)</t>
  </si>
  <si>
    <t xml:space="preserve">tb@example.com</t>
  </si>
  <si>
    <t xml:space="preserve">7 · Past client</t>
  </si>
  <si>
    <t xml:space="preserve">90-day check-in email</t>
  </si>
  <si>
    <t xml:space="preserve">Summit Coaching</t>
  </si>
  <si>
    <t xml:space="preserve">K. Ito (fictional)</t>
  </si>
  <si>
    <t xml:space="preserve">ki@example.com</t>
  </si>
  <si>
    <t xml:space="preserve">Lost</t>
  </si>
  <si>
    <t xml:space="preserve">SAMPLE: chose a cheaper option</t>
  </si>
  <si>
    <t xml:space="preserve">Projects</t>
  </si>
  <si>
    <t xml:space="preserve">Track each project's milestones, deposit and weekly update day.</t>
  </si>
  <si>
    <t xml:space="preserve">Project</t>
  </si>
  <si>
    <t xml:space="preserve">Start date</t>
  </si>
  <si>
    <t xml:space="preserve">Due date</t>
  </si>
  <si>
    <t xml:space="preserve">Fee</t>
  </si>
  <si>
    <t xml:space="preserve">Deposit %</t>
  </si>
  <si>
    <t xml:space="preserve">Deposit amount</t>
  </si>
  <si>
    <t xml:space="preserve">Next milestone</t>
  </si>
  <si>
    <t xml:space="preserve">Milestone date</t>
  </si>
  <si>
    <t xml:space="preserve">Days to milestone</t>
  </si>
  <si>
    <t xml:space="preserve">Flag</t>
  </si>
  <si>
    <t xml:space="preserve">Weekly update day</t>
  </si>
  <si>
    <t xml:space="preserve">Harbor Dental website</t>
  </si>
  <si>
    <t xml:space="preserve">In progress</t>
  </si>
  <si>
    <t xml:space="preserve">Homepage design review</t>
  </si>
  <si>
    <t xml:space="preserve">Friday</t>
  </si>
  <si>
    <t xml:space="preserve">Northfield site rebuild</t>
  </si>
  <si>
    <t xml:space="preserve">Not started</t>
  </si>
  <si>
    <t xml:space="preserve">Kickoff call</t>
  </si>
  <si>
    <t xml:space="preserve">Thursday</t>
  </si>
  <si>
    <t xml:space="preserve">Maple Street care plan</t>
  </si>
  <si>
    <t xml:space="preserve">Complete</t>
  </si>
  <si>
    <t xml:space="preserve">Invoices &amp; Follow-ups</t>
  </si>
  <si>
    <t xml:space="preserve">Log each invoice. Due dates, days overdue and the next reminder stage (A–E) calculate automatically.</t>
  </si>
  <si>
    <t xml:space="preserve">Description</t>
  </si>
  <si>
    <t xml:space="preserve">Issue date</t>
  </si>
  <si>
    <t xml:space="preserve">Terms (days)</t>
  </si>
  <si>
    <t xml:space="preserve">Amount</t>
  </si>
  <si>
    <t xml:space="preserve">Amount paid</t>
  </si>
  <si>
    <t xml:space="preserve">Paid date</t>
  </si>
  <si>
    <t xml:space="preserve">Days overdue</t>
  </si>
  <si>
    <t xml:space="preserve">Reminder stage due</t>
  </si>
  <si>
    <t xml:space="preserve">Next reminder date</t>
  </si>
  <si>
    <t xml:space="preserve">Last reminder sent</t>
  </si>
  <si>
    <t xml:space="preserve">Last reminder date</t>
  </si>
  <si>
    <t xml:space="preserve">Action flag</t>
  </si>
  <si>
    <t xml:space="preserve">2026-014</t>
  </si>
  <si>
    <t xml:space="preserve">Deposit 50%</t>
  </si>
  <si>
    <t xml:space="preserve">SAMPLE: paid</t>
  </si>
  <si>
    <t xml:space="preserve">2026-018</t>
  </si>
  <si>
    <t xml:space="preserve">Milestone 2: design approved</t>
  </si>
  <si>
    <t xml:space="preserve">C</t>
  </si>
  <si>
    <t xml:space="preserve">SAMPLE: 8 days overdue, stage C sent</t>
  </si>
  <si>
    <t xml:space="preserve">2026-019</t>
  </si>
  <si>
    <t xml:space="preserve">Care plan: quarter</t>
  </si>
  <si>
    <t xml:space="preserve">SAMPLE: 30 days overdue → final notice due</t>
  </si>
  <si>
    <t xml:space="preserve">2026-020</t>
  </si>
  <si>
    <t xml:space="preserve">SAMPLE: due in 2 days → heads-up</t>
  </si>
  <si>
    <t xml:space="preserve">2026-021</t>
  </si>
  <si>
    <t xml:space="preserve">Strategy workshop</t>
  </si>
  <si>
    <t xml:space="preserve">A</t>
  </si>
  <si>
    <t xml:space="preserve">SAMPLE: due today</t>
  </si>
  <si>
    <t xml:space="preserve">2026-022</t>
  </si>
  <si>
    <t xml:space="preserve">Audit call</t>
  </si>
  <si>
    <t xml:space="preserve">SAMPLE: part-paid, not due</t>
  </si>
  <si>
    <t xml:space="preserve">2026-023</t>
  </si>
  <si>
    <t xml:space="preserve">Hosting setup</t>
  </si>
  <si>
    <t xml:space="preserve">SAMPLE: 15 days overdue, no reminder logged</t>
  </si>
  <si>
    <t xml:space="preserve">Admin Audit</t>
  </si>
  <si>
    <t xml:space="preserve">List recurring admin tasks. Priority = (times/month × minutes) × repeatability ÷ risk. Fix the top-ranked tasks first.</t>
  </si>
  <si>
    <t xml:space="preserve">Category</t>
  </si>
  <si>
    <t xml:space="preserve">Times / month</t>
  </si>
  <si>
    <t xml:space="preserve">Minutes each</t>
  </si>
  <si>
    <t xml:space="preserve">Repeatability (1–3)</t>
  </si>
  <si>
    <t xml:space="preserve">Risk (1–3)</t>
  </si>
  <si>
    <t xml:space="preserve">Priority score</t>
  </si>
  <si>
    <t xml:space="preserve">Rank</t>
  </si>
  <si>
    <t xml:space="preserve">Prompt / template ID</t>
  </si>
  <si>
    <t xml:space="preserve">Minutes / month after</t>
  </si>
  <si>
    <t xml:space="preserve">Minutes saved / month</t>
  </si>
  <si>
    <t xml:space="preserve">Summary</t>
  </si>
  <si>
    <t xml:space="preserve">Weekly client updates</t>
  </si>
  <si>
    <t xml:space="preserve">During projects</t>
  </si>
  <si>
    <t xml:space="preserve">Template</t>
  </si>
  <si>
    <t xml:space="preserve">DEL-01</t>
  </si>
  <si>
    <t xml:space="preserve">SAMPLE (Sam's audit)</t>
  </si>
  <si>
    <t xml:space="preserve">Admin minutes / month</t>
  </si>
  <si>
    <t xml:space="preserve">Social media posts</t>
  </si>
  <si>
    <t xml:space="preserve">Running the business</t>
  </si>
  <si>
    <t xml:space="preserve">AI draft</t>
  </si>
  <si>
    <t xml:space="preserve">MKT-01</t>
  </si>
  <si>
    <t xml:space="preserve">Replying to inquiries</t>
  </si>
  <si>
    <t xml:space="preserve">Getting clients</t>
  </si>
  <si>
    <t xml:space="preserve">LEAD-01</t>
  </si>
  <si>
    <t xml:space="preserve">Hours / month after changes (re-estimated tasks)</t>
  </si>
  <si>
    <t xml:space="preserve">Onboarding emails &amp; setup</t>
  </si>
  <si>
    <t xml:space="preserve">Starting projects</t>
  </si>
  <si>
    <t xml:space="preserve">ONB-01</t>
  </si>
  <si>
    <t xml:space="preserve">Hours saved / month (measured)</t>
  </si>
  <si>
    <t xml:space="preserve">Writing proposals</t>
  </si>
  <si>
    <t xml:space="preserve">PROP-01</t>
  </si>
  <si>
    <t xml:space="preserve">Tasks listed</t>
  </si>
  <si>
    <t xml:space="preserve">Meeting notes &amp; follow-ups</t>
  </si>
  <si>
    <t xml:space="preserve">DEL-04</t>
  </si>
  <si>
    <t xml:space="preserve">Sending invoices</t>
  </si>
  <si>
    <t xml:space="preserve">Money</t>
  </si>
  <si>
    <t xml:space="preserve">Savings are only shown once you re-estimate a task's minutes after changing how you do it. We never assume a saving.</t>
  </si>
  <si>
    <t xml:space="preserve">Chasing late payments</t>
  </si>
  <si>
    <t xml:space="preserve">PAY-02</t>
  </si>
  <si>
    <t xml:space="preserve">Prompt Log</t>
  </si>
  <si>
    <t xml:space="preserve">Keep track of the prompts you actually use. IDs match The Band of One Prompt Library (100 prompts).</t>
  </si>
  <si>
    <t xml:space="preserve">Prompt ID</t>
  </si>
  <si>
    <t xml:space="preserve">Prompt name</t>
  </si>
  <si>
    <t xml:space="preserve">Stage / category</t>
  </si>
  <si>
    <t xml:space="preserve">Where I saved it</t>
  </si>
  <si>
    <t xml:space="preserve">Times used</t>
  </si>
  <si>
    <t xml:space="preserve">Last used</t>
  </si>
  <si>
    <t xml:space="preserve">Rating (1–5)</t>
  </si>
  <si>
    <t xml:space="preserve">My tweaks / notes</t>
  </si>
  <si>
    <t xml:space="preserve">SET-01</t>
  </si>
  <si>
    <t xml:space="preserve">Business brief builder</t>
  </si>
  <si>
    <t xml:space="preserve">Setup</t>
  </si>
  <si>
    <t xml:space="preserve">SET-02</t>
  </si>
  <si>
    <t xml:space="preserve">Voice profile from writing samples</t>
  </si>
  <si>
    <t xml:space="preserve">SET-03</t>
  </si>
  <si>
    <t xml:space="preserve">Redaction check before pasting</t>
  </si>
  <si>
    <t xml:space="preserve">Reply to a new inquiry</t>
  </si>
  <si>
    <t xml:space="preserve">Leads &amp; inquiries</t>
  </si>
  <si>
    <t xml:space="preserve">DISC-02</t>
  </si>
  <si>
    <t xml:space="preserve">Discovery call prep sheet</t>
  </si>
  <si>
    <t xml:space="preserve">Discovery</t>
  </si>
  <si>
    <t xml:space="preserve">DISC-05</t>
  </si>
  <si>
    <t xml:space="preserve">Call notes → summary + next steps email</t>
  </si>
  <si>
    <t xml:space="preserve">Proposal draft from discovery notes</t>
  </si>
  <si>
    <t xml:space="preserve">Proposals</t>
  </si>
  <si>
    <t xml:space="preserve">PROP-06</t>
  </si>
  <si>
    <t xml:space="preserve">Scope exclusions &amp; assumptions list</t>
  </si>
  <si>
    <t xml:space="preserve">Welcome email</t>
  </si>
  <si>
    <t xml:space="preserve">Onboarding</t>
  </si>
  <si>
    <t xml:space="preserve">ONB-03</t>
  </si>
  <si>
    <t xml:space="preserve">Intake questionnaire builder</t>
  </si>
  <si>
    <t xml:space="preserve">Weekly client update</t>
  </si>
  <si>
    <t xml:space="preserve">Delivery</t>
  </si>
  <si>
    <t xml:space="preserve">Meeting notes → summary &amp; action items</t>
  </si>
  <si>
    <t xml:space="preserve">DEL-07</t>
  </si>
  <si>
    <t xml:space="preserve">Scope change request email</t>
  </si>
  <si>
    <t xml:space="preserve">Payment reminder sequence personalizer</t>
  </si>
  <si>
    <t xml:space="preserve">Getting paid</t>
  </si>
  <si>
    <t xml:space="preserve">RET-02</t>
  </si>
  <si>
    <t xml:space="preserve">Testimonial request with specific questions</t>
  </si>
  <si>
    <t xml:space="preserve">Offboarding</t>
  </si>
  <si>
    <t xml:space="preserve">OPS-01</t>
  </si>
  <si>
    <t xml:space="preserve">SOP from rough notes</t>
  </si>
  <si>
    <t xml:space="preserve">Systems</t>
  </si>
  <si>
    <t xml:space="preserve">OPS-05</t>
  </si>
  <si>
    <t xml:space="preserve">Weekly admin review assistant</t>
  </si>
  <si>
    <t xml:space="preserve">SOP Library</t>
  </si>
  <si>
    <t xml:space="preserve">Index of your standard operating procedures and when each is due for review.</t>
  </si>
  <si>
    <t xml:space="preserve">SOP name</t>
  </si>
  <si>
    <t xml:space="preserve">Trigger (what starts it)</t>
  </si>
  <si>
    <t xml:space="preserve">Where it lives (link)</t>
  </si>
  <si>
    <t xml:space="preserve">Last reviewed</t>
  </si>
  <si>
    <t xml:space="preserve">Review every (days)</t>
  </si>
  <si>
    <t xml:space="preserve">Next review</t>
  </si>
  <si>
    <t xml:space="preserve">Onboard a new client</t>
  </si>
  <si>
    <t xml:space="preserve">Client accepts proposal</t>
  </si>
  <si>
    <t xml:space="preserve">Send the weekly update</t>
  </si>
  <si>
    <t xml:space="preserve">Every Friday 3 pm</t>
  </si>
  <si>
    <t xml:space="preserve">Invoice and follow up</t>
  </si>
  <si>
    <t xml:space="preserve">Milestone approved / invoice due</t>
  </si>
  <si>
    <t xml:space="preserve">Offboard a client</t>
  </si>
  <si>
    <t xml:space="preserve">Final deliverable approved</t>
  </si>
  <si>
    <t xml:space="preserve">Weekly admin review</t>
  </si>
  <si>
    <t xml:space="preserve">Weekly review day</t>
  </si>
  <si>
    <t xml:space="preserve">Weekly Review</t>
  </si>
  <si>
    <t xml:space="preserve">Your 45-minute weekly admin review: agenda, live numbers to copy, and a log to spot trends.</t>
  </si>
  <si>
    <t xml:space="preserve">Agenda</t>
  </si>
  <si>
    <t xml:space="preserve">What to do</t>
  </si>
  <si>
    <t xml:space="preserve">Live numbers (copy into the log)</t>
  </si>
  <si>
    <t xml:space="preserve">Now</t>
  </si>
  <si>
    <t xml:space="preserve">1. Clear the decks (10 min)</t>
  </si>
  <si>
    <t xml:space="preserve">Process inbox &amp; messages; capture tasks into your tracker.</t>
  </si>
  <si>
    <t xml:space="preserve">Overdue invoices (count)</t>
  </si>
  <si>
    <t xml:space="preserve">2. Pipeline (10 min)</t>
  </si>
  <si>
    <t xml:space="preserve">Check every client's stage and next-action date; send due follow-ups.</t>
  </si>
  <si>
    <t xml:space="preserve">Overdue invoices (total)</t>
  </si>
  <si>
    <t xml:space="preserve">3. Money (10 min)</t>
  </si>
  <si>
    <t xml:space="preserve">Invoices to send; reminders due (stages A–E); record payments.</t>
  </si>
  <si>
    <t xml:space="preserve">Reminders to send now</t>
  </si>
  <si>
    <t xml:space="preserve">4. Next week (10 min)</t>
  </si>
  <si>
    <t xml:space="preserve">Block time for client work and deadlines; prep update notes.</t>
  </si>
  <si>
    <t xml:space="preserve">Client follow-ups overdue</t>
  </si>
  <si>
    <t xml:space="preserve">5. Improve one thing (5 min)</t>
  </si>
  <si>
    <t xml:space="preserve">Turn one annoying task into a template, SOP or prompt.</t>
  </si>
  <si>
    <t xml:space="preserve">Client follow-ups due this week</t>
  </si>
  <si>
    <t xml:space="preserve">Weekly log</t>
  </si>
  <si>
    <t xml:space="preserve">Week starting</t>
  </si>
  <si>
    <t xml:space="preserve">Admin hours (est.)</t>
  </si>
  <si>
    <t xml:space="preserve">Overdue invoices (#)</t>
  </si>
  <si>
    <t xml:space="preserve">Overdue total</t>
  </si>
  <si>
    <t xml:space="preserve">Avg first reply (hours)</t>
  </si>
  <si>
    <t xml:space="preserve">Proposals sent</t>
  </si>
  <si>
    <t xml:space="preserve">Proposals won</t>
  </si>
  <si>
    <t xml:space="preserve">Win rate</t>
  </si>
  <si>
    <t xml:space="preserve">Improvement I made</t>
  </si>
  <si>
    <t xml:space="preserve">Saved inquiry reply template</t>
  </si>
  <si>
    <t xml:space="preserve">Wrote onboarding SOP</t>
  </si>
  <si>
    <t xml:space="preserve">Settings &amp; Lists</t>
  </si>
  <si>
    <t xml:space="preserve">Edit your business details and dropdown lists here. Other tabs read from this sheet.</t>
  </si>
  <si>
    <t xml:space="preserve">Setting</t>
  </si>
  <si>
    <t xml:space="preserve">Your business name</t>
  </si>
  <si>
    <t xml:space="preserve">Sam Rivera Design (sample)</t>
  </si>
  <si>
    <t xml:space="preserve">Today (used by all formulas)</t>
  </si>
  <si>
    <t xml:space="preserve">Default payment terms (days)</t>
  </si>
  <si>
    <t xml:space="preserve">Currency code (for labels)</t>
  </si>
  <si>
    <t xml:space="preserve">USD</t>
  </si>
  <si>
    <t xml:space="preserve">Today override (leave blank)</t>
  </si>
  <si>
    <t xml:space="preserve">Dropdown lists (you can edit the text; keep the same number of stages)</t>
  </si>
  <si>
    <t xml:space="preserve">Client stages</t>
  </si>
  <si>
    <t xml:space="preserve">Win probability</t>
  </si>
  <si>
    <t xml:space="preserve">Stage group</t>
  </si>
  <si>
    <t xml:space="preserve">Admin decisions</t>
  </si>
  <si>
    <t xml:space="preserve">Admin categories</t>
  </si>
  <si>
    <t xml:space="preserve">Project status</t>
  </si>
  <si>
    <t xml:space="preserve">Lead sources</t>
  </si>
  <si>
    <t xml:space="preserve">Services (edit me)</t>
  </si>
  <si>
    <t xml:space="preserve">Reminder stage</t>
  </si>
  <si>
    <t xml:space="preserve">Days from due date</t>
  </si>
  <si>
    <t xml:space="preserve">Meaning</t>
  </si>
  <si>
    <t xml:space="preserve">Pipeline</t>
  </si>
  <si>
    <t xml:space="preserve">Eliminate</t>
  </si>
  <si>
    <t xml:space="preserve">Heads-up (before due)</t>
  </si>
  <si>
    <t xml:space="preserve">B</t>
  </si>
  <si>
    <t xml:space="preserve">Due today</t>
  </si>
  <si>
    <t xml:space="preserve">Waiting on client</t>
  </si>
  <si>
    <t xml:space="preserve">Gentle nudge</t>
  </si>
  <si>
    <t xml:space="preserve">Active</t>
  </si>
  <si>
    <t xml:space="preserve">Automate</t>
  </si>
  <si>
    <t xml:space="preserve">Other</t>
  </si>
  <si>
    <t xml:space="preserve">D</t>
  </si>
  <si>
    <t xml:space="preserve">Firm follow-up</t>
  </si>
  <si>
    <t xml:space="preserve">Keep human</t>
  </si>
  <si>
    <t xml:space="preserve">Finishing</t>
  </si>
  <si>
    <t xml:space="preserve">On hold</t>
  </si>
  <si>
    <t xml:space="preserve">TikTok / YouTube</t>
  </si>
  <si>
    <t xml:space="preserve">E</t>
  </si>
  <si>
    <t xml:space="preserve">Final notice</t>
  </si>
  <si>
    <t xml:space="preserve">6 · Wrap-up &amp; payment</t>
  </si>
  <si>
    <t xml:space="preserve">Email list</t>
  </si>
  <si>
    <t xml:space="preserve">Closed</t>
  </si>
  <si>
    <t xml:space="preserve">Marketplace</t>
  </si>
  <si>
    <t xml:space="preserve">Reminder timing follows the 5-stage cadence in The Solo Admin Playbook (Ch. 9). Change the days to suit your terms.</t>
  </si>
  <si>
    <t xml:space="preserve">Win probability is an assumption used only to weight your pipeline on the Dashboard. Edit it to match your own experience.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</si>
</sst>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"/>
    <numFmt numFmtId="168" formatCode="yyyy\-mm\-dd"/>
    <numFmt numFmtId="169" formatCode="#,##0.00;[RED]\-#,##0.00;\-"/>
    <numFmt numFmtId="170" formatCode="0%"/>
    <numFmt numFmtId="171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A4A45"/>
      <name val="Arial"/>
      <family val="0"/>
      <charset val="1"/>
    </font>
    <font>
      <i val="true"/>
      <sz val="10"/>
      <color rgb="FF56606B"/>
      <name val="Arial"/>
      <family val="0"/>
      <charset val="1"/>
    </font>
    <font>
      <b val="true"/>
      <sz val="10"/>
      <color rgb="FF0A4A45"/>
      <name val="Arial"/>
      <family val="0"/>
      <charset val="1"/>
    </font>
    <font>
      <sz val="10"/>
      <color rgb="FF1B2430"/>
      <name val="Arial"/>
      <family val="0"/>
      <charset val="1"/>
    </font>
    <font>
      <b val="true"/>
      <sz val="18"/>
      <color rgb="FF0A4A45"/>
      <name val="Arial"/>
      <family val="0"/>
      <charset val="1"/>
    </font>
    <font>
      <b val="true"/>
      <sz val="9"/>
      <color rgb="FF56606B"/>
      <name val="Arial"/>
      <family val="0"/>
      <charset val="1"/>
    </font>
    <font>
      <b val="true"/>
      <sz val="20"/>
      <color rgb="FF0A4A45"/>
      <name val="Arial"/>
      <family val="0"/>
      <charset val="1"/>
    </font>
    <font>
      <b val="true"/>
      <sz val="12"/>
      <color rgb="FF0A4A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6606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56606B"/>
      <name val="Arial"/>
      <family val="0"/>
      <charset val="1"/>
    </font>
    <font>
      <b val="true"/>
      <sz val="10"/>
      <color rgb="FF1B243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9F9F9"/>
      </patternFill>
    </fill>
    <fill>
      <patternFill patternType="solid">
        <fgColor rgb="FFFFF8E1"/>
        <bgColor rgb="FFF9F9F9"/>
      </patternFill>
    </fill>
    <fill>
      <patternFill patternType="solid">
        <fgColor rgb="FFE3F1EE"/>
        <bgColor rgb="FFEDEBE6"/>
      </patternFill>
    </fill>
    <fill>
      <patternFill patternType="solid">
        <fgColor rgb="FF0A4A45"/>
        <bgColor rgb="FF0F6B64"/>
      </patternFill>
    </fill>
    <fill>
      <patternFill patternType="solid">
        <fgColor rgb="FF56606B"/>
        <bgColor rgb="FF0F6B64"/>
      </patternFill>
    </fill>
    <fill>
      <patternFill patternType="solid">
        <fgColor rgb="FFF1F4F3"/>
        <bgColor rgb="FFF9F9F9"/>
      </patternFill>
    </fill>
    <fill>
      <patternFill patternType="solid">
        <fgColor rgb="FFEDEBE6"/>
        <bgColor rgb="FFE3F1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4CA"/>
      </left>
      <right style="thin">
        <color rgb="FFD9D4CA"/>
      </right>
      <top style="thin">
        <color rgb="FFD9D4CA"/>
      </top>
      <bottom style="thin">
        <color rgb="FFD9D4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ont>
        <name val="Arial"/>
        <charset val="1"/>
        <family val="0"/>
        <b val="1"/>
        <color rgb="FFB8471F"/>
      </font>
    </dxf>
    <dxf>
      <fill>
        <patternFill patternType="solid">
          <fgColor rgb="FF0A4A45"/>
          <bgColor rgb="FF000000"/>
        </patternFill>
      </fill>
    </dxf>
    <dxf>
      <fill>
        <patternFill patternType="solid">
          <fgColor rgb="FFF1F4F3"/>
          <bgColor rgb="FF000000"/>
        </patternFill>
      </fill>
    </dxf>
    <dxf>
      <fill>
        <patternFill patternType="solid">
          <fgColor rgb="FF1B243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BE3DA"/>
          <bgColor rgb="FF000000"/>
        </patternFill>
      </fill>
    </dxf>
    <dxf>
      <fill>
        <patternFill patternType="solid">
          <fgColor rgb="FFFDF1CC"/>
          <bgColor rgb="FF000000"/>
        </patternFill>
      </fill>
    </dxf>
    <dxf>
      <fill>
        <patternFill patternType="solid">
          <fgColor rgb="FFB8471F"/>
          <bgColor rgb="FF000000"/>
        </patternFill>
      </fill>
    </dxf>
    <dxf>
      <font>
        <name val="Arial"/>
        <charset val="1"/>
        <family val="0"/>
        <b val="1"/>
        <color rgb="FFB8471F"/>
      </font>
      <fill>
        <patternFill>
          <bgColor rgb="FFFBE3DA"/>
        </patternFill>
      </fill>
    </dxf>
    <dxf>
      <font>
        <name val="Arial"/>
        <charset val="1"/>
        <family val="0"/>
        <b val="1"/>
        <color rgb="FF1B2430"/>
      </font>
      <fill>
        <patternFill>
          <bgColor rgb="FFFDF1CC"/>
        </patternFill>
      </fill>
    </dxf>
    <dxf>
      <fill>
        <patternFill>
          <bgColor rgb="FFFDF1CC"/>
        </patternFill>
      </fill>
    </dxf>
    <dxf>
      <fill>
        <patternFill patternType="solid">
          <fgColor rgb="FFE3F1EE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DF1CC"/>
        </patternFill>
      </fill>
    </dxf>
    <dxf>
      <font>
        <name val="Arial"/>
        <charset val="1"/>
        <family val="0"/>
        <color rgb="FF0A4A45"/>
      </font>
      <fill>
        <patternFill>
          <bgColor rgb="FFE3F1EE"/>
        </patternFill>
      </fill>
    </dxf>
    <dxf>
      <font>
        <name val="Arial"/>
        <charset val="1"/>
        <family val="0"/>
        <b val="1"/>
        <color rgb="FF0A4A45"/>
      </font>
    </dxf>
    <dxf>
      <font>
        <name val="Arial"/>
        <charset val="1"/>
        <family val="0"/>
        <i val="1"/>
        <color rgb="FF56606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64"/>
      <rgbColor rgb="FFD9D4CA"/>
      <rgbColor rgb="FF878787"/>
      <rgbColor rgb="FF9999FF"/>
      <rgbColor rgb="FF993366"/>
      <rgbColor rgb="FFFFF8E1"/>
      <rgbColor rgb="FFE3F1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F3"/>
      <rgbColor rgb="FFEDEBE6"/>
      <rgbColor rgb="FFFDF1CC"/>
      <rgbColor rgb="FFF9F9F9"/>
      <rgbColor rgb="FFFBE3DA"/>
      <rgbColor rgb="FFCC99FF"/>
      <rgbColor rgb="FFF6C85F"/>
      <rgbColor rgb="FF3366FF"/>
      <rgbColor rgb="FF33CCCC"/>
      <rgbColor rgb="FF99CC00"/>
      <rgbColor rgb="FFFFCC00"/>
      <rgbColor rgb="FFFF9900"/>
      <rgbColor rgb="FFFF6600"/>
      <rgbColor rgb="FF56606B"/>
      <rgbColor rgb="FF969696"/>
      <rgbColor rgb="FF0A4A45"/>
      <rgbColor rgb="FF339966"/>
      <rgbColor rgb="FF003300"/>
      <rgbColor rgb="FF333300"/>
      <rgbColor rgb="FFB8471F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Clients by stage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Dashboard!H25</c:f>
              <c:strCache>
                <c:ptCount val="1"/>
                <c:pt idx="0">
                  <c:v>Clients</c:v>
                </c:pt>
              </c:strCache>
            </c:strRef>
          </c:tx>
          <c:spPr>
            <a:solidFill>
              <a:srgbClr val="0f6b6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Dashboard!$G$26:$G$33</c:f>
              <c:strCache>
                <c:ptCount val="8"/>
                <c:pt idx="0">
                  <c:v>1 · Inquiry</c:v>
                </c:pt>
                <c:pt idx="1">
                  <c:v>2 · Discovery</c:v>
                </c:pt>
                <c:pt idx="2">
                  <c:v>3 · Proposal sent</c:v>
                </c:pt>
                <c:pt idx="3">
                  <c:v>4 · Onboarding</c:v>
                </c:pt>
                <c:pt idx="4">
                  <c:v>5 · Delivery</c:v>
                </c:pt>
                <c:pt idx="5">
                  <c:v>6 · Wrap-up &amp; payment</c:v>
                </c:pt>
                <c:pt idx="6">
                  <c:v>7 · Past client</c:v>
                </c:pt>
                <c:pt idx="7">
                  <c:v>Lost</c:v>
                </c:pt>
              </c:strCache>
            </c:strRef>
          </c:cat>
          <c:val>
            <c:numRef>
              <c:f>Dashboard!$H$26:$H$33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90426955"/>
        <c:axId val="37266213"/>
      </c:barChart>
      <c:catAx>
        <c:axId val="904269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266213"/>
        <c:crosses val="autoZero"/>
        <c:auto val="1"/>
        <c:lblAlgn val="ctr"/>
        <c:lblOffset val="100"/>
        <c:noMultiLvlLbl val="0"/>
      </c:catAx>
      <c:valAx>
        <c:axId val="37266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26955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100800</xdr:rowOff>
    </xdr:from>
    <xdr:to>
      <xdr:col>4</xdr:col>
      <xdr:colOff>239040</xdr:colOff>
      <xdr:row>43</xdr:row>
      <xdr:rowOff>133560</xdr:rowOff>
    </xdr:to>
    <xdr:graphicFrame>
      <xdr:nvGraphicFramePr>
        <xdr:cNvPr id="0" name="Chart 1"/>
        <xdr:cNvGraphicFramePr/>
      </xdr:nvGraphicFramePr>
      <xdr:xfrm>
        <a:off x="177840" y="5715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6C85F"/>
    <pageSetUpPr fitToPage="true"/>
  </sheetPr>
  <dimension ref="B1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1" customFormat="false" ht="26.8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43.5" hidden="false" customHeight="true" outlineLevel="0" collapsed="false">
      <c r="B4" s="3" t="s">
        <v>2</v>
      </c>
      <c r="C4" s="4" t="s">
        <v>3</v>
      </c>
    </row>
    <row r="5" customFormat="false" ht="30" hidden="false" customHeight="true" outlineLevel="0" collapsed="false">
      <c r="B5" s="3" t="s">
        <v>4</v>
      </c>
      <c r="C5" s="4" t="s">
        <v>5</v>
      </c>
    </row>
    <row r="6" customFormat="false" ht="30" hidden="false" customHeight="true" outlineLevel="0" collapsed="false">
      <c r="B6" s="5" t="s">
        <v>6</v>
      </c>
      <c r="C6" s="6" t="s">
        <v>7</v>
      </c>
    </row>
    <row r="7" customFormat="false" ht="30" hidden="false" customHeight="true" outlineLevel="0" collapsed="false">
      <c r="B7" s="3" t="s">
        <v>8</v>
      </c>
      <c r="C7" s="4" t="s">
        <v>9</v>
      </c>
    </row>
    <row r="8" customFormat="false" ht="43.5" hidden="false" customHeight="true" outlineLevel="0" collapsed="false">
      <c r="B8" s="3" t="s">
        <v>10</v>
      </c>
      <c r="C8" s="4" t="s">
        <v>11</v>
      </c>
    </row>
    <row r="9" customFormat="false" ht="30" hidden="false" customHeight="true" outlineLevel="0" collapsed="false">
      <c r="B9" s="3" t="s">
        <v>12</v>
      </c>
      <c r="C9" s="4" t="s">
        <v>13</v>
      </c>
    </row>
    <row r="10" customFormat="false" ht="43.5" hidden="false" customHeight="true" outlineLevel="0" collapsed="false">
      <c r="B10" s="3" t="s">
        <v>14</v>
      </c>
      <c r="C10" s="4" t="s">
        <v>15</v>
      </c>
    </row>
    <row r="11" customFormat="false" ht="43.5" hidden="false" customHeight="true" outlineLevel="0" collapsed="false">
      <c r="B11" s="3" t="s">
        <v>16</v>
      </c>
      <c r="C11" s="4" t="s">
        <v>17</v>
      </c>
    </row>
    <row r="12" customFormat="false" ht="43.5" hidden="false" customHeight="true" outlineLevel="0" collapsed="false">
      <c r="B12" s="3" t="s">
        <v>18</v>
      </c>
      <c r="C12" s="4" t="s">
        <v>19</v>
      </c>
    </row>
    <row r="13" customFormat="false" ht="43.5" hidden="false" customHeight="true" outlineLevel="0" collapsed="false">
      <c r="B13" s="3" t="s">
        <v>20</v>
      </c>
      <c r="C13" s="4" t="s">
        <v>21</v>
      </c>
    </row>
    <row r="14" customFormat="false" ht="43.5" hidden="false" customHeight="true" outlineLevel="0" collapsed="false">
      <c r="B14" s="3" t="s">
        <v>22</v>
      </c>
      <c r="C14" s="4" t="s">
        <v>23</v>
      </c>
    </row>
    <row r="15" customFormat="false" ht="30" hidden="false" customHeight="true" outlineLevel="0" collapsed="false">
      <c r="B15" s="3" t="s">
        <v>24</v>
      </c>
      <c r="C15" s="4" t="s">
        <v>25</v>
      </c>
    </row>
    <row r="16" customFormat="false" ht="30" hidden="false" customHeight="true" outlineLevel="0" collapsed="false">
      <c r="B16" s="3" t="s">
        <v>26</v>
      </c>
      <c r="C16" s="4" t="s">
        <v>27</v>
      </c>
    </row>
    <row r="17" customFormat="false" ht="43.5" hidden="false" customHeight="true" outlineLevel="0" collapsed="false">
      <c r="B17" s="3" t="s">
        <v>28</v>
      </c>
      <c r="C17" s="4" t="s">
        <v>29</v>
      </c>
    </row>
    <row r="18" customFormat="false" ht="30" hidden="false" customHeight="true" outlineLevel="0" collapsed="false">
      <c r="B18" s="3" t="s">
        <v>30</v>
      </c>
      <c r="C18" s="4" t="s">
        <v>31</v>
      </c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64"/>
    <pageSetUpPr fitToPage="true"/>
  </sheetPr>
  <dimension ref="B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3"/>
    <col collapsed="false" customWidth="true" hidden="false" outlineLevel="0" max="12" min="12" style="0" width="20"/>
    <col collapsed="false" customWidth="true" hidden="false" outlineLevel="0" max="13" min="13" style="0" width="14"/>
  </cols>
  <sheetData>
    <row r="1" customFormat="false" ht="22.05" hidden="false" customHeight="false" outlineLevel="0" collapsed="false">
      <c r="B1" s="7" t="s">
        <v>0</v>
      </c>
    </row>
    <row r="2" customFormat="false" ht="15" hidden="false" customHeight="false" outlineLevel="0" collapsed="false">
      <c r="B2" s="2" t="str">
        <f aca="false">"Dashboard for "&amp;Settings!$C$5&amp;" · as of "&amp;TEXT(Settings!$C$6,"d mmm yyyy")</f>
        <v>Dashboard for Sam Rivera Design (sample) · as of 24 Sep 2026</v>
      </c>
    </row>
    <row r="4" customFormat="false" ht="15" hidden="false" customHeight="false" outlineLevel="0" collapsed="false">
      <c r="B4" s="8" t="s">
        <v>32</v>
      </c>
      <c r="C4" s="8"/>
      <c r="D4" s="8" t="str">
        <f aca="false">"Weighted pipeline ("&amp;Settings!$C$8&amp;")"</f>
        <v>Weighted pipeline (USD)</v>
      </c>
      <c r="E4" s="8"/>
      <c r="G4" s="8" t="str">
        <f aca="false">"Outstanding ("&amp;Settings!$C$8&amp;")"</f>
        <v>Outstanding (USD)</v>
      </c>
      <c r="H4" s="8"/>
      <c r="I4" s="8" t="str">
        <f aca="false">"Overdue ("&amp;Settings!$C$8&amp;")"</f>
        <v>Overdue (USD)</v>
      </c>
      <c r="J4" s="8"/>
      <c r="L4" s="8" t="s">
        <v>33</v>
      </c>
      <c r="M4" s="8"/>
    </row>
    <row r="5" customFormat="false" ht="15" hidden="false" customHeight="false" outlineLevel="0" collapsed="false">
      <c r="B5" s="9" t="n">
        <f aca="false">COUNTIF('Clients &amp; Pipeline'!$K$5:$K$154,"Active")</f>
        <v>2</v>
      </c>
      <c r="C5" s="9"/>
      <c r="D5" s="10" t="n">
        <f aca="false">SUMIFS('Clients &amp; Pipeline'!$J$5:$J$154,'Clients &amp; Pipeline'!$K$5:$K$154,"Pipeline")</f>
        <v>3590</v>
      </c>
      <c r="E5" s="10"/>
      <c r="G5" s="10" t="n">
        <f aca="false">SUMIFS('Invoices &amp; Follow-ups'!$J$5:$J$204,'Invoices &amp; Follow-ups'!$K$5:$K$204,"&lt;&gt;Paid")</f>
        <v>5180</v>
      </c>
      <c r="H5" s="10"/>
      <c r="I5" s="10" t="n">
        <f aca="false">SUMIFS('Invoices &amp; Follow-ups'!$J$5:$J$204,'Invoices &amp; Follow-ups'!$K$5:$K$204,"Overdue")</f>
        <v>1830</v>
      </c>
      <c r="J5" s="10"/>
      <c r="L5" s="9" t="n">
        <f aca="false">SUM('Invoices &amp; Follow-ups'!$S$5:$S$204)</f>
        <v>4</v>
      </c>
      <c r="M5" s="9"/>
    </row>
    <row r="6" customFormat="false" ht="15" hidden="false" customHeight="false" outlineLevel="0" collapsed="false">
      <c r="B6" s="9"/>
      <c r="C6" s="9"/>
      <c r="D6" s="10"/>
      <c r="E6" s="10"/>
      <c r="G6" s="10"/>
      <c r="H6" s="10"/>
      <c r="I6" s="10"/>
      <c r="J6" s="10"/>
      <c r="L6" s="9"/>
      <c r="M6" s="9"/>
    </row>
    <row r="8" customFormat="false" ht="15" hidden="false" customHeight="false" outlineLevel="0" collapsed="false">
      <c r="B8" s="8" t="s">
        <v>34</v>
      </c>
      <c r="C8" s="8"/>
      <c r="D8" s="8" t="s">
        <v>35</v>
      </c>
      <c r="E8" s="8"/>
      <c r="G8" s="8" t="str">
        <f aca="false">"Invoiced this month ("&amp;Settings!$C$8&amp;")"</f>
        <v>Invoiced this month (USD)</v>
      </c>
      <c r="H8" s="8"/>
      <c r="I8" s="8" t="str">
        <f aca="false">"Collected this month ("&amp;Settings!$C$8&amp;")"</f>
        <v>Collected this month (USD)</v>
      </c>
      <c r="J8" s="8"/>
      <c r="L8" s="8" t="s">
        <v>36</v>
      </c>
      <c r="M8" s="8"/>
    </row>
    <row r="9" customFormat="false" ht="15" hidden="false" customHeight="false" outlineLevel="0" collapsed="false">
      <c r="B9" s="9" t="n">
        <f aca="false">COUNTIF('Clients &amp; Pipeline'!$Q$5:$Q$154,"Overdue")</f>
        <v>1</v>
      </c>
      <c r="C9" s="9"/>
      <c r="D9" s="9" t="n">
        <f aca="false">COUNTIF('Clients &amp; Pipeline'!$Q$5:$Q$154,"Due this week")</f>
        <v>4</v>
      </c>
      <c r="E9" s="9"/>
      <c r="G9" s="10" t="n">
        <f aca="false">SUMIFS('Invoices &amp; Follow-ups'!$G$5:$G$204,'Invoices &amp; Follow-ups'!$D$5:$D$204,"&gt;="&amp;DATE(YEAR(Settings!$C$6),MONTH(Settings!$C$6),1),'Invoices &amp; Follow-ups'!$D$5:$D$204,"&lt;="&amp;Settings!$C$6)</f>
        <v>4650</v>
      </c>
      <c r="H9" s="10"/>
      <c r="I9" s="10" t="n">
        <f aca="false">SUMIFS('Invoices &amp; Follow-ups'!$H$5:$H$204,'Invoices &amp; Follow-ups'!$I$5:$I$204,"&gt;="&amp;DATE(YEAR(Settings!$C$6),MONTH(Settings!$C$6),1),'Invoices &amp; Follow-ups'!$I$5:$I$204,"&lt;="&amp;Settings!$C$6)</f>
        <v>100</v>
      </c>
      <c r="J9" s="10"/>
      <c r="L9" s="11" t="n">
        <f aca="false">'Admin Audit'!$Q$6</f>
        <v>23.3333333333333</v>
      </c>
      <c r="M9" s="11"/>
    </row>
    <row r="10" customFormat="false" ht="15" hidden="false" customHeight="false" outlineLevel="0" collapsed="false">
      <c r="B10" s="9"/>
      <c r="C10" s="9"/>
      <c r="D10" s="9"/>
      <c r="E10" s="9"/>
      <c r="G10" s="10"/>
      <c r="H10" s="10"/>
      <c r="I10" s="10"/>
      <c r="J10" s="10"/>
      <c r="L10" s="11"/>
      <c r="M10" s="11"/>
    </row>
    <row r="12" customFormat="false" ht="15" hidden="false" customHeight="false" outlineLevel="0" collapsed="false">
      <c r="B12" s="12" t="s">
        <v>37</v>
      </c>
      <c r="G12" s="12" t="s">
        <v>38</v>
      </c>
    </row>
    <row r="13" customFormat="false" ht="15" hidden="false" customHeight="false" outlineLevel="0" collapsed="false">
      <c r="B13" s="13" t="s">
        <v>39</v>
      </c>
      <c r="C13" s="13" t="s">
        <v>40</v>
      </c>
      <c r="D13" s="13" t="s">
        <v>41</v>
      </c>
      <c r="E13" s="13" t="s">
        <v>42</v>
      </c>
      <c r="G13" s="13" t="s">
        <v>39</v>
      </c>
      <c r="H13" s="13" t="s">
        <v>43</v>
      </c>
      <c r="I13" s="13" t="s">
        <v>44</v>
      </c>
      <c r="J13" s="13" t="s">
        <v>45</v>
      </c>
    </row>
    <row r="14" customFormat="false" ht="15" hidden="false" customHeight="false" outlineLevel="0" collapsed="false">
      <c r="B14" s="14" t="str">
        <f aca="false">IFERROR(INDEX('Clients &amp; Pipeline'!$B$5:$B$154,MATCH(1,'Clients &amp; Pipeline'!$V$5:$V$154,0)),"")</f>
        <v>Brightside Physio</v>
      </c>
      <c r="C14" s="14" t="str">
        <f aca="false">IFERROR(INDEX('Clients &amp; Pipeline'!$N$5:$N$154,MATCH(1,'Clients &amp; Pipeline'!$V$5:$V$154,0)),"")</f>
        <v>Send call summary</v>
      </c>
      <c r="D14" s="15" t="n">
        <f aca="false">IFERROR(INDEX('Clients &amp; Pipeline'!$O$5:$O$154,MATCH(1,'Clients &amp; Pipeline'!$V$5:$V$154,0)),"")</f>
        <v>46288</v>
      </c>
      <c r="E14" s="14" t="str">
        <f aca="false">IFERROR(INDEX('Clients &amp; Pipeline'!$Q$5:$Q$154,MATCH(1,'Clients &amp; Pipeline'!$V$5:$V$154,0)),"")</f>
        <v>Overdue</v>
      </c>
      <c r="G14" s="14" t="str">
        <f aca="false">IFERROR(INDEX('Invoices &amp; Follow-ups'!$B$5:$B$204,MATCH(1,'Invoices &amp; Follow-ups'!$T$5:$T$204,0)),"")</f>
        <v>Maple Street Bakery</v>
      </c>
      <c r="H14" s="14" t="str">
        <f aca="false">IFERROR(INDEX('Invoices &amp; Follow-ups'!$A$5:$A$204,MATCH(1,'Invoices &amp; Follow-ups'!$T$5:$T$204,0)),"")</f>
        <v>2026-019</v>
      </c>
      <c r="I14" s="16" t="n">
        <f aca="false">IFERROR(INDEX('Invoices &amp; Follow-ups'!$J$5:$J$204,MATCH(1,'Invoices &amp; Follow-ups'!$T$5:$T$204,0)),"")</f>
        <v>450</v>
      </c>
      <c r="J14" s="14" t="str">
        <f aca="false">IFERROR(INDEX('Invoices &amp; Follow-ups'!$Q$5:$Q$204,MATCH(1,'Invoices &amp; Follow-ups'!$T$5:$T$204,0)),"")</f>
        <v>Send E now</v>
      </c>
    </row>
    <row r="15" customFormat="false" ht="15" hidden="false" customHeight="false" outlineLevel="0" collapsed="false">
      <c r="B15" s="14" t="str">
        <f aca="false">IFERROR(INDEX('Clients &amp; Pipeline'!$B$5:$B$154,MATCH(2,'Clients &amp; Pipeline'!$V$5:$V$154,0)),"")</f>
        <v>Cedar Yoga</v>
      </c>
      <c r="C15" s="14" t="str">
        <f aca="false">IFERROR(INDEX('Clients &amp; Pipeline'!$N$5:$N$154,MATCH(2,'Clients &amp; Pipeline'!$V$5:$V$154,0)),"")</f>
        <v>Reply to inquiry</v>
      </c>
      <c r="D15" s="15" t="n">
        <f aca="false">IFERROR(INDEX('Clients &amp; Pipeline'!$O$5:$O$154,MATCH(2,'Clients &amp; Pipeline'!$V$5:$V$154,0)),"")</f>
        <v>46289</v>
      </c>
      <c r="E15" s="14" t="str">
        <f aca="false">IFERROR(INDEX('Clients &amp; Pipeline'!$Q$5:$Q$154,MATCH(2,'Clients &amp; Pipeline'!$V$5:$V$154,0)),"")</f>
        <v>Due this week</v>
      </c>
      <c r="G15" s="14" t="str">
        <f aca="false">IFERROR(INDEX('Invoices &amp; Follow-ups'!$B$5:$B$204,MATCH(2,'Invoices &amp; Follow-ups'!$T$5:$T$204,0)),"")</f>
        <v>Harbor Dental Studio</v>
      </c>
      <c r="H15" s="14" t="str">
        <f aca="false">IFERROR(INDEX('Invoices &amp; Follow-ups'!$A$5:$A$204,MATCH(2,'Invoices &amp; Follow-ups'!$T$5:$T$204,0)),"")</f>
        <v>2026-023</v>
      </c>
      <c r="I15" s="16" t="n">
        <f aca="false">IFERROR(INDEX('Invoices &amp; Follow-ups'!$J$5:$J$204,MATCH(2,'Invoices &amp; Follow-ups'!$T$5:$T$204,0)),"")</f>
        <v>180</v>
      </c>
      <c r="J15" s="14" t="str">
        <f aca="false">IFERROR(INDEX('Invoices &amp; Follow-ups'!$Q$5:$Q$204,MATCH(2,'Invoices &amp; Follow-ups'!$T$5:$T$204,0)),"")</f>
        <v>Send D now</v>
      </c>
    </row>
    <row r="16" customFormat="false" ht="15" hidden="false" customHeight="false" outlineLevel="0" collapsed="false">
      <c r="B16" s="14" t="str">
        <f aca="false">IFERROR(INDEX('Clients &amp; Pipeline'!$B$5:$B$154,MATCH(3,'Clients &amp; Pipeline'!$V$5:$V$154,0)),"")</f>
        <v>Harbor Dental Studio</v>
      </c>
      <c r="C16" s="14" t="str">
        <f aca="false">IFERROR(INDEX('Clients &amp; Pipeline'!$N$5:$N$154,MATCH(3,'Clients &amp; Pipeline'!$V$5:$V$154,0)),"")</f>
        <v>Send weekly update</v>
      </c>
      <c r="D16" s="15" t="n">
        <f aca="false">IFERROR(INDEX('Clients &amp; Pipeline'!$O$5:$O$154,MATCH(3,'Clients &amp; Pipeline'!$V$5:$V$154,0)),"")</f>
        <v>46291</v>
      </c>
      <c r="E16" s="14" t="str">
        <f aca="false">IFERROR(INDEX('Clients &amp; Pipeline'!$Q$5:$Q$154,MATCH(3,'Clients &amp; Pipeline'!$V$5:$V$154,0)),"")</f>
        <v>Due this week</v>
      </c>
      <c r="G16" s="14" t="str">
        <f aca="false">IFERROR(INDEX('Invoices &amp; Follow-ups'!$B$5:$B$204,MATCH(3,'Invoices &amp; Follow-ups'!$T$5:$T$204,0)),"")</f>
        <v>Oak &amp; Pine Law</v>
      </c>
      <c r="H16" s="14" t="str">
        <f aca="false">IFERROR(INDEX('Invoices &amp; Follow-ups'!$A$5:$A$204,MATCH(3,'Invoices &amp; Follow-ups'!$T$5:$T$204,0)),"")</f>
        <v>2026-021</v>
      </c>
      <c r="I16" s="16" t="n">
        <f aca="false">IFERROR(INDEX('Invoices &amp; Follow-ups'!$J$5:$J$204,MATCH(3,'Invoices &amp; Follow-ups'!$T$5:$T$204,0)),"")</f>
        <v>600</v>
      </c>
      <c r="J16" s="14" t="str">
        <f aca="false">IFERROR(INDEX('Invoices &amp; Follow-ups'!$Q$5:$Q$204,MATCH(3,'Invoices &amp; Follow-ups'!$T$5:$T$204,0)),"")</f>
        <v>Send B now</v>
      </c>
    </row>
    <row r="17" customFormat="false" ht="15" hidden="false" customHeight="false" outlineLevel="0" collapsed="false">
      <c r="B17" s="14" t="str">
        <f aca="false">IFERROR(INDEX('Clients &amp; Pipeline'!$B$5:$B$154,MATCH(4,'Clients &amp; Pipeline'!$V$5:$V$154,0)),"")</f>
        <v>Oak &amp; Pine Law</v>
      </c>
      <c r="C17" s="14" t="str">
        <f aca="false">IFERROR(INDEX('Clients &amp; Pipeline'!$N$5:$N$154,MATCH(4,'Clients &amp; Pipeline'!$V$5:$V$154,0)),"")</f>
        <v>Proposal follow-up (day 7)</v>
      </c>
      <c r="D17" s="15" t="n">
        <f aca="false">IFERROR(INDEX('Clients &amp; Pipeline'!$O$5:$O$154,MATCH(4,'Clients &amp; Pipeline'!$V$5:$V$154,0)),"")</f>
        <v>46291</v>
      </c>
      <c r="E17" s="14" t="str">
        <f aca="false">IFERROR(INDEX('Clients &amp; Pipeline'!$Q$5:$Q$154,MATCH(4,'Clients &amp; Pipeline'!$V$5:$V$154,0)),"")</f>
        <v>Due this week</v>
      </c>
      <c r="G17" s="14" t="str">
        <f aca="false">IFERROR(INDEX('Invoices &amp; Follow-ups'!$B$5:$B$204,MATCH(4,'Invoices &amp; Follow-ups'!$T$5:$T$204,0)),"")</f>
        <v>Northfield Accounting</v>
      </c>
      <c r="H17" s="14" t="str">
        <f aca="false">IFERROR(INDEX('Invoices &amp; Follow-ups'!$A$5:$A$204,MATCH(4,'Invoices &amp; Follow-ups'!$T$5:$T$204,0)),"")</f>
        <v>2026-020</v>
      </c>
      <c r="I17" s="16" t="n">
        <f aca="false">IFERROR(INDEX('Invoices &amp; Follow-ups'!$J$5:$J$204,MATCH(4,'Invoices &amp; Follow-ups'!$T$5:$T$204,0)),"")</f>
        <v>2600</v>
      </c>
      <c r="J17" s="14" t="str">
        <f aca="false">IFERROR(INDEX('Invoices &amp; Follow-ups'!$Q$5:$Q$204,MATCH(4,'Invoices &amp; Follow-ups'!$T$5:$T$204,0)),"")</f>
        <v>Send A now</v>
      </c>
    </row>
    <row r="18" customFormat="false" ht="15" hidden="false" customHeight="false" outlineLevel="0" collapsed="false">
      <c r="B18" s="14" t="str">
        <f aca="false">IFERROR(INDEX('Clients &amp; Pipeline'!$B$5:$B$154,MATCH(5,'Clients &amp; Pipeline'!$V$5:$V$154,0)),"")</f>
        <v>Northfield Accounting</v>
      </c>
      <c r="C18" s="14" t="str">
        <f aca="false">IFERROR(INDEX('Clients &amp; Pipeline'!$N$5:$N$154,MATCH(5,'Clients &amp; Pipeline'!$V$5:$V$154,0)),"")</f>
        <v>Kickoff call prep</v>
      </c>
      <c r="D18" s="15" t="n">
        <f aca="false">IFERROR(INDEX('Clients &amp; Pipeline'!$O$5:$O$154,MATCH(5,'Clients &amp; Pipeline'!$V$5:$V$154,0)),"")</f>
        <v>46294</v>
      </c>
      <c r="E18" s="14" t="str">
        <f aca="false">IFERROR(INDEX('Clients &amp; Pipeline'!$Q$5:$Q$154,MATCH(5,'Clients &amp; Pipeline'!$V$5:$V$154,0)),"")</f>
        <v>Due this week</v>
      </c>
      <c r="G18" s="14" t="str">
        <f aca="false">IFERROR(INDEX('Invoices &amp; Follow-ups'!$B$5:$B$204,MATCH(5,'Invoices &amp; Follow-ups'!$T$5:$T$204,0)),"")</f>
        <v/>
      </c>
      <c r="H18" s="14" t="str">
        <f aca="false">IFERROR(INDEX('Invoices &amp; Follow-ups'!$A$5:$A$204,MATCH(5,'Invoices &amp; Follow-ups'!$T$5:$T$204,0)),"")</f>
        <v/>
      </c>
      <c r="I18" s="16" t="str">
        <f aca="false">IFERROR(INDEX('Invoices &amp; Follow-ups'!$J$5:$J$204,MATCH(5,'Invoices &amp; Follow-ups'!$T$5:$T$204,0)),"")</f>
        <v/>
      </c>
      <c r="J18" s="14" t="str">
        <f aca="false">IFERROR(INDEX('Invoices &amp; Follow-ups'!$Q$5:$Q$204,MATCH(5,'Invoices &amp; Follow-ups'!$T$5:$T$204,0)),"")</f>
        <v/>
      </c>
    </row>
    <row r="19" customFormat="false" ht="15" hidden="false" customHeight="false" outlineLevel="0" collapsed="false">
      <c r="B19" s="14" t="str">
        <f aca="false">IFERROR(INDEX('Clients &amp; Pipeline'!$B$5:$B$154,MATCH(6,'Clients &amp; Pipeline'!$V$5:$V$154,0)),"")</f>
        <v>Maple Street Bakery</v>
      </c>
      <c r="C19" s="14" t="str">
        <f aca="false">IFERROR(INDEX('Clients &amp; Pipeline'!$N$5:$N$154,MATCH(6,'Clients &amp; Pipeline'!$V$5:$V$154,0)),"")</f>
        <v>90-day check-in email</v>
      </c>
      <c r="D19" s="15" t="n">
        <f aca="false">IFERROR(INDEX('Clients &amp; Pipeline'!$O$5:$O$154,MATCH(6,'Clients &amp; Pipeline'!$V$5:$V$154,0)),"")</f>
        <v>46299</v>
      </c>
      <c r="E19" s="14" t="str">
        <f aca="false">IFERROR(INDEX('Clients &amp; Pipeline'!$Q$5:$Q$154,MATCH(6,'Clients &amp; Pipeline'!$V$5:$V$154,0)),"")</f>
        <v>Upcoming</v>
      </c>
      <c r="G19" s="14" t="str">
        <f aca="false">IFERROR(INDEX('Invoices &amp; Follow-ups'!$B$5:$B$204,MATCH(6,'Invoices &amp; Follow-ups'!$T$5:$T$204,0)),"")</f>
        <v/>
      </c>
      <c r="H19" s="14" t="str">
        <f aca="false">IFERROR(INDEX('Invoices &amp; Follow-ups'!$A$5:$A$204,MATCH(6,'Invoices &amp; Follow-ups'!$T$5:$T$204,0)),"")</f>
        <v/>
      </c>
      <c r="I19" s="16" t="str">
        <f aca="false">IFERROR(INDEX('Invoices &amp; Follow-ups'!$J$5:$J$204,MATCH(6,'Invoices &amp; Follow-ups'!$T$5:$T$204,0)),"")</f>
        <v/>
      </c>
      <c r="J19" s="14" t="str">
        <f aca="false">IFERROR(INDEX('Invoices &amp; Follow-ups'!$Q$5:$Q$204,MATCH(6,'Invoices &amp; Follow-ups'!$T$5:$T$204,0)),"")</f>
        <v/>
      </c>
    </row>
    <row r="20" customFormat="false" ht="15" hidden="false" customHeight="false" outlineLevel="0" collapsed="false">
      <c r="B20" s="14" t="str">
        <f aca="false">IFERROR(INDEX('Clients &amp; Pipeline'!$B$5:$B$154,MATCH(7,'Clients &amp; Pipeline'!$V$5:$V$154,0)),"")</f>
        <v/>
      </c>
      <c r="C20" s="14" t="str">
        <f aca="false">IFERROR(INDEX('Clients &amp; Pipeline'!$N$5:$N$154,MATCH(7,'Clients &amp; Pipeline'!$V$5:$V$154,0)),"")</f>
        <v/>
      </c>
      <c r="D20" s="15" t="str">
        <f aca="false">IFERROR(INDEX('Clients &amp; Pipeline'!$O$5:$O$154,MATCH(7,'Clients &amp; Pipeline'!$V$5:$V$154,0)),"")</f>
        <v/>
      </c>
      <c r="E20" s="14" t="str">
        <f aca="false">IFERROR(INDEX('Clients &amp; Pipeline'!$Q$5:$Q$154,MATCH(7,'Clients &amp; Pipeline'!$V$5:$V$154,0)),"")</f>
        <v/>
      </c>
      <c r="G20" s="14" t="str">
        <f aca="false">IFERROR(INDEX('Invoices &amp; Follow-ups'!$B$5:$B$204,MATCH(7,'Invoices &amp; Follow-ups'!$T$5:$T$204,0)),"")</f>
        <v/>
      </c>
      <c r="H20" s="14" t="str">
        <f aca="false">IFERROR(INDEX('Invoices &amp; Follow-ups'!$A$5:$A$204,MATCH(7,'Invoices &amp; Follow-ups'!$T$5:$T$204,0)),"")</f>
        <v/>
      </c>
      <c r="I20" s="16" t="str">
        <f aca="false">IFERROR(INDEX('Invoices &amp; Follow-ups'!$J$5:$J$204,MATCH(7,'Invoices &amp; Follow-ups'!$T$5:$T$204,0)),"")</f>
        <v/>
      </c>
      <c r="J20" s="14" t="str">
        <f aca="false">IFERROR(INDEX('Invoices &amp; Follow-ups'!$Q$5:$Q$204,MATCH(7,'Invoices &amp; Follow-ups'!$T$5:$T$204,0)),"")</f>
        <v/>
      </c>
    </row>
    <row r="21" customFormat="false" ht="15" hidden="false" customHeight="false" outlineLevel="0" collapsed="false">
      <c r="B21" s="14" t="str">
        <f aca="false">IFERROR(INDEX('Clients &amp; Pipeline'!$B$5:$B$154,MATCH(8,'Clients &amp; Pipeline'!$V$5:$V$154,0)),"")</f>
        <v/>
      </c>
      <c r="C21" s="14" t="str">
        <f aca="false">IFERROR(INDEX('Clients &amp; Pipeline'!$N$5:$N$154,MATCH(8,'Clients &amp; Pipeline'!$V$5:$V$154,0)),"")</f>
        <v/>
      </c>
      <c r="D21" s="15" t="str">
        <f aca="false">IFERROR(INDEX('Clients &amp; Pipeline'!$O$5:$O$154,MATCH(8,'Clients &amp; Pipeline'!$V$5:$V$154,0)),"")</f>
        <v/>
      </c>
      <c r="E21" s="14" t="str">
        <f aca="false">IFERROR(INDEX('Clients &amp; Pipeline'!$Q$5:$Q$154,MATCH(8,'Clients &amp; Pipeline'!$V$5:$V$154,0)),"")</f>
        <v/>
      </c>
      <c r="G21" s="14" t="str">
        <f aca="false">IFERROR(INDEX('Invoices &amp; Follow-ups'!$B$5:$B$204,MATCH(8,'Invoices &amp; Follow-ups'!$T$5:$T$204,0)),"")</f>
        <v/>
      </c>
      <c r="H21" s="14" t="str">
        <f aca="false">IFERROR(INDEX('Invoices &amp; Follow-ups'!$A$5:$A$204,MATCH(8,'Invoices &amp; Follow-ups'!$T$5:$T$204,0)),"")</f>
        <v/>
      </c>
      <c r="I21" s="16" t="str">
        <f aca="false">IFERROR(INDEX('Invoices &amp; Follow-ups'!$J$5:$J$204,MATCH(8,'Invoices &amp; Follow-ups'!$T$5:$T$204,0)),"")</f>
        <v/>
      </c>
      <c r="J21" s="14" t="str">
        <f aca="false">IFERROR(INDEX('Invoices &amp; Follow-ups'!$Q$5:$Q$204,MATCH(8,'Invoices &amp; Follow-ups'!$T$5:$T$204,0)),"")</f>
        <v/>
      </c>
    </row>
    <row r="24" customFormat="false" ht="15" hidden="false" customHeight="false" outlineLevel="0" collapsed="false">
      <c r="B24" s="12" t="s">
        <v>46</v>
      </c>
      <c r="G24" s="12" t="s">
        <v>47</v>
      </c>
    </row>
    <row r="25" customFormat="false" ht="15" hidden="false" customHeight="false" outlineLevel="0" collapsed="false">
      <c r="B25" s="13" t="s">
        <v>48</v>
      </c>
      <c r="C25" s="13" t="s">
        <v>49</v>
      </c>
      <c r="D25" s="13" t="s">
        <v>50</v>
      </c>
      <c r="E25" s="13" t="s">
        <v>51</v>
      </c>
      <c r="G25" s="13" t="s">
        <v>52</v>
      </c>
      <c r="H25" s="13" t="s">
        <v>53</v>
      </c>
      <c r="I25" s="13" t="s">
        <v>54</v>
      </c>
    </row>
    <row r="26" customFormat="false" ht="15" hidden="false" customHeight="false" outlineLevel="0" collapsed="false">
      <c r="B26" s="14" t="str">
        <f aca="false">IFERROR(INDEX('Admin Audit'!$A$5:$A$44,MATCH(1,'Admin Audit'!$I$5:$I$44,0)),"")</f>
        <v>Weekly client updates</v>
      </c>
      <c r="C26" s="17" t="n">
        <f aca="false">IFERROR(INDEX('Admin Audit'!$E$5:$E$44,MATCH(1,'Admin Audit'!$I$5:$I$44,0)),"")</f>
        <v>320</v>
      </c>
      <c r="D26" s="17" t="n">
        <f aca="false">IFERROR(INDEX('Admin Audit'!$H$5:$H$44,MATCH(1,'Admin Audit'!$I$5:$I$44,0)),"")</f>
        <v>960</v>
      </c>
      <c r="E26" s="14" t="str">
        <f aca="false">IFERROR(INDEX('Admin Audit'!$J$5:$J$44,MATCH(1,'Admin Audit'!$I$5:$I$44,0)),"")</f>
        <v>Template</v>
      </c>
      <c r="G26" s="14" t="str">
        <f aca="false">Settings!$E$14</f>
        <v>1 · Inquiry</v>
      </c>
      <c r="H26" s="14" t="n">
        <f aca="false">COUNTIF('Clients &amp; Pipeline'!$G$5:$G$154,G26)</f>
        <v>1</v>
      </c>
      <c r="I26" s="17" t="n">
        <f aca="false">SUMIFS('Clients &amp; Pipeline'!$H$5:$H$154,'Clients &amp; Pipeline'!$G$5:$G$154,G26)</f>
        <v>400</v>
      </c>
    </row>
    <row r="27" customFormat="false" ht="15" hidden="false" customHeight="false" outlineLevel="0" collapsed="false">
      <c r="B27" s="14" t="str">
        <f aca="false">IFERROR(INDEX('Admin Audit'!$A$5:$A$44,MATCH(2,'Admin Audit'!$I$5:$I$44,0)),"")</f>
        <v>Social media posts</v>
      </c>
      <c r="C27" s="17" t="n">
        <f aca="false">IFERROR(INDEX('Admin Audit'!$E$5:$E$44,MATCH(2,'Admin Audit'!$I$5:$I$44,0)),"")</f>
        <v>240</v>
      </c>
      <c r="D27" s="17" t="n">
        <f aca="false">IFERROR(INDEX('Admin Audit'!$H$5:$H$44,MATCH(2,'Admin Audit'!$I$5:$I$44,0)),"")</f>
        <v>480</v>
      </c>
      <c r="E27" s="14" t="str">
        <f aca="false">IFERROR(INDEX('Admin Audit'!$J$5:$J$44,MATCH(2,'Admin Audit'!$I$5:$I$44,0)),"")</f>
        <v>AI draft</v>
      </c>
      <c r="G27" s="14" t="str">
        <f aca="false">Settings!$E$15</f>
        <v>2 · Discovery</v>
      </c>
      <c r="H27" s="14" t="n">
        <f aca="false">COUNTIF('Clients &amp; Pipeline'!$G$5:$G$154,G27)</f>
        <v>1</v>
      </c>
      <c r="I27" s="17" t="n">
        <f aca="false">SUMIFS('Clients &amp; Pipeline'!$H$5:$H$154,'Clients &amp; Pipeline'!$G$5:$G$154,G27)</f>
        <v>1200</v>
      </c>
    </row>
    <row r="28" customFormat="false" ht="15" hidden="false" customHeight="false" outlineLevel="0" collapsed="false">
      <c r="B28" s="14" t="str">
        <f aca="false">IFERROR(INDEX('Admin Audit'!$A$5:$A$44,MATCH(3,'Admin Audit'!$I$5:$I$44,0)),"")</f>
        <v>Replying to inquiries</v>
      </c>
      <c r="C28" s="17" t="n">
        <f aca="false">IFERROR(INDEX('Admin Audit'!$E$5:$E$44,MATCH(3,'Admin Audit'!$I$5:$I$44,0)),"")</f>
        <v>120</v>
      </c>
      <c r="D28" s="17" t="n">
        <f aca="false">IFERROR(INDEX('Admin Audit'!$H$5:$H$44,MATCH(3,'Admin Audit'!$I$5:$I$44,0)),"")</f>
        <v>360</v>
      </c>
      <c r="E28" s="14" t="str">
        <f aca="false">IFERROR(INDEX('Admin Audit'!$J$5:$J$44,MATCH(3,'Admin Audit'!$I$5:$I$44,0)),"")</f>
        <v>Template</v>
      </c>
      <c r="G28" s="14" t="str">
        <f aca="false">Settings!$E$16</f>
        <v>3 · Proposal sent</v>
      </c>
      <c r="H28" s="14" t="n">
        <f aca="false">COUNTIF('Clients &amp; Pipeline'!$G$5:$G$154,G28)</f>
        <v>1</v>
      </c>
      <c r="I28" s="17" t="n">
        <f aca="false">SUMIFS('Clients &amp; Pipeline'!$H$5:$H$154,'Clients &amp; Pipeline'!$G$5:$G$154,G28)</f>
        <v>6500</v>
      </c>
    </row>
    <row r="29" customFormat="false" ht="15" hidden="false" customHeight="false" outlineLevel="0" collapsed="false">
      <c r="G29" s="14" t="str">
        <f aca="false">Settings!$E$17</f>
        <v>4 · Onboarding</v>
      </c>
      <c r="H29" s="14" t="n">
        <f aca="false">COUNTIF('Clients &amp; Pipeline'!$G$5:$G$154,G29)</f>
        <v>1</v>
      </c>
      <c r="I29" s="17" t="n">
        <f aca="false">SUMIFS('Clients &amp; Pipeline'!$H$5:$H$154,'Clients &amp; Pipeline'!$G$5:$G$154,G29)</f>
        <v>5200</v>
      </c>
    </row>
    <row r="30" customFormat="false" ht="15" hidden="false" customHeight="false" outlineLevel="0" collapsed="false">
      <c r="G30" s="14" t="str">
        <f aca="false">Settings!$E$18</f>
        <v>5 · Delivery</v>
      </c>
      <c r="H30" s="14" t="n">
        <f aca="false">COUNTIF('Clients &amp; Pipeline'!$G$5:$G$154,G30)</f>
        <v>1</v>
      </c>
      <c r="I30" s="17" t="n">
        <f aca="false">SUMIFS('Clients &amp; Pipeline'!$H$5:$H$154,'Clients &amp; Pipeline'!$G$5:$G$154,G30)</f>
        <v>4800</v>
      </c>
    </row>
    <row r="31" customFormat="false" ht="15" hidden="false" customHeight="false" outlineLevel="0" collapsed="false">
      <c r="G31" s="14" t="str">
        <f aca="false">Settings!$E$19</f>
        <v>6 · Wrap-up &amp; payment</v>
      </c>
      <c r="H31" s="14" t="n">
        <f aca="false">COUNTIF('Clients &amp; Pipeline'!$G$5:$G$154,G31)</f>
        <v>0</v>
      </c>
      <c r="I31" s="17" t="n">
        <f aca="false">SUMIFS('Clients &amp; Pipeline'!$H$5:$H$154,'Clients &amp; Pipeline'!$G$5:$G$154,G31)</f>
        <v>0</v>
      </c>
    </row>
    <row r="32" customFormat="false" ht="15" hidden="false" customHeight="false" outlineLevel="0" collapsed="false">
      <c r="G32" s="14" t="str">
        <f aca="false">Settings!$E$20</f>
        <v>7 · Past client</v>
      </c>
      <c r="H32" s="14" t="n">
        <f aca="false">COUNTIF('Clients &amp; Pipeline'!$G$5:$G$154,G32)</f>
        <v>1</v>
      </c>
      <c r="I32" s="17" t="n">
        <f aca="false">SUMIFS('Clients &amp; Pipeline'!$H$5:$H$154,'Clients &amp; Pipeline'!$G$5:$G$154,G32)</f>
        <v>3900</v>
      </c>
    </row>
    <row r="33" customFormat="false" ht="15" hidden="false" customHeight="false" outlineLevel="0" collapsed="false">
      <c r="G33" s="14" t="str">
        <f aca="false">Settings!$E$21</f>
        <v>Lost</v>
      </c>
      <c r="H33" s="14" t="n">
        <f aca="false">COUNTIF('Clients &amp; Pipeline'!$G$5:$G$154,G33)</f>
        <v>1</v>
      </c>
      <c r="I33" s="17" t="n">
        <f aca="false">SUMIFS('Clients &amp; Pipeline'!$H$5:$H$154,'Clients &amp; Pipeline'!$G$5:$G$154,G33)</f>
        <v>3000</v>
      </c>
    </row>
    <row r="35" customFormat="false" ht="15" hidden="false" customHeight="false" outlineLevel="0" collapsed="false">
      <c r="G35" s="18" t="s">
        <v>55</v>
      </c>
    </row>
  </sheetData>
  <mergeCells count="20">
    <mergeCell ref="B4:C4"/>
    <mergeCell ref="D4:E4"/>
    <mergeCell ref="G4:H4"/>
    <mergeCell ref="I4:J4"/>
    <mergeCell ref="L4:M4"/>
    <mergeCell ref="B5:C6"/>
    <mergeCell ref="D5:E6"/>
    <mergeCell ref="G5:H6"/>
    <mergeCell ref="I5:J6"/>
    <mergeCell ref="L5:M6"/>
    <mergeCell ref="B8:C8"/>
    <mergeCell ref="D8:E8"/>
    <mergeCell ref="G8:H8"/>
    <mergeCell ref="I8:J8"/>
    <mergeCell ref="L8:M8"/>
    <mergeCell ref="B9:C10"/>
    <mergeCell ref="D9:E10"/>
    <mergeCell ref="G9:H10"/>
    <mergeCell ref="I9:J10"/>
    <mergeCell ref="L9:M10"/>
  </mergeCells>
  <conditionalFormatting sqref="E14:E21">
    <cfRule type="expression" priority="2" aboveAverage="0" equalAverage="0" bottom="0" percent="0" rank="0" text="" dxfId="0">
      <formula>E14="Overdue"</formula>
    </cfRule>
  </conditionalFormatting>
  <conditionalFormatting sqref="J14:J21">
    <cfRule type="expression" priority="3" aboveAverage="0" equalAverage="0" bottom="0" percent="0" rank="0" text="" dxfId="0">
      <formula>LEFT(J14,4)="Send"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V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8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3" min="12" style="0" width="12"/>
    <col collapsed="false" customWidth="true" hidden="false" outlineLevel="0" max="14" min="14" style="0" width="30"/>
    <col collapsed="false" customWidth="true" hidden="false" outlineLevel="0" max="15" min="15" style="0" width="13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9" min="18" style="0" width="12"/>
    <col collapsed="false" customWidth="true" hidden="false" outlineLevel="0" max="20" min="20" style="0" width="30"/>
    <col collapsed="false" customWidth="true" hidden="false" outlineLevel="0" max="22" min="21" style="0" width="9"/>
  </cols>
  <sheetData>
    <row r="1" customFormat="false" ht="30" hidden="false" customHeight="true" outlineLevel="0" collapsed="false">
      <c r="A1" s="7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19" t="s">
        <v>58</v>
      </c>
    </row>
    <row r="4" customFormat="false" ht="33.75" hidden="false" customHeight="true" outlineLevel="0" collapsed="false">
      <c r="A4" s="13" t="s">
        <v>59</v>
      </c>
      <c r="B4" s="13" t="s">
        <v>60</v>
      </c>
      <c r="C4" s="13" t="s">
        <v>61</v>
      </c>
      <c r="D4" s="13" t="s">
        <v>62</v>
      </c>
      <c r="E4" s="13" t="s">
        <v>63</v>
      </c>
      <c r="F4" s="13" t="s">
        <v>64</v>
      </c>
      <c r="G4" s="13" t="s">
        <v>52</v>
      </c>
      <c r="H4" s="13" t="s">
        <v>65</v>
      </c>
      <c r="I4" s="13" t="s">
        <v>66</v>
      </c>
      <c r="J4" s="13" t="s">
        <v>67</v>
      </c>
      <c r="K4" s="13" t="s">
        <v>68</v>
      </c>
      <c r="L4" s="13" t="s">
        <v>69</v>
      </c>
      <c r="M4" s="13" t="s">
        <v>70</v>
      </c>
      <c r="N4" s="13" t="s">
        <v>40</v>
      </c>
      <c r="O4" s="13" t="s">
        <v>71</v>
      </c>
      <c r="P4" s="13" t="s">
        <v>72</v>
      </c>
      <c r="Q4" s="13" t="s">
        <v>73</v>
      </c>
      <c r="R4" s="13" t="s">
        <v>74</v>
      </c>
      <c r="S4" s="13" t="s">
        <v>75</v>
      </c>
      <c r="T4" s="13" t="s">
        <v>76</v>
      </c>
      <c r="U4" s="20" t="s">
        <v>77</v>
      </c>
      <c r="V4" s="20" t="s">
        <v>78</v>
      </c>
    </row>
    <row r="5" customFormat="false" ht="15" hidden="false" customHeight="false" outlineLevel="0" collapsed="false">
      <c r="A5" s="21" t="str">
        <f aca="false">IF(B5="","","C"&amp;TEXT(ROW()-4,"000"))</f>
        <v>C001</v>
      </c>
      <c r="B5" s="22" t="s">
        <v>79</v>
      </c>
      <c r="C5" s="22" t="s">
        <v>80</v>
      </c>
      <c r="D5" s="22" t="s">
        <v>81</v>
      </c>
      <c r="E5" s="22" t="s">
        <v>82</v>
      </c>
      <c r="F5" s="22" t="s">
        <v>83</v>
      </c>
      <c r="G5" s="22" t="s">
        <v>84</v>
      </c>
      <c r="H5" s="23" t="n">
        <v>4800</v>
      </c>
      <c r="I5" s="24" t="n">
        <f aca="false">IF(OR(B5="",G5=""),"",INDEX(Settings!$F$14:$F$21,MATCH(G5,Settings!$E$14:$E$21,0)))</f>
        <v>1</v>
      </c>
      <c r="J5" s="25" t="n">
        <f aca="false">IF(OR(I5="",H5=""),"",H5*I5)</f>
        <v>4800</v>
      </c>
      <c r="K5" s="21" t="str">
        <f aca="false">IF(OR(B5="",G5=""),"",INDEX(Settings!$G$14:$G$21,MATCH(G5,Settings!$E$14:$E$21,0)))</f>
        <v>Active</v>
      </c>
      <c r="L5" s="26" t="n">
        <f aca="false">Settings!$C$6-60</f>
        <v>46229</v>
      </c>
      <c r="M5" s="26" t="n">
        <f aca="false">Settings!$C$6-45</f>
        <v>46244</v>
      </c>
      <c r="N5" s="22" t="s">
        <v>85</v>
      </c>
      <c r="O5" s="26" t="n">
        <f aca="false">Settings!$C$6+2</f>
        <v>46291</v>
      </c>
      <c r="P5" s="27" t="n">
        <f aca="false">IF(OR(B5="",O5="",G5="Lost"),"",O5-Settings!$C$6)</f>
        <v>2</v>
      </c>
      <c r="Q5" s="21" t="str">
        <f aca="false">IF(P5="","",IF(P5&lt;0,"Overdue",IF(P5&lt;=7,"Due this week","Upcoming")))</f>
        <v>Due this week</v>
      </c>
      <c r="R5" s="26"/>
      <c r="S5" s="28" t="str">
        <f aca="false">IF(AND(G5="7 · Past client",R5&lt;&gt;""),R5+90,"")</f>
        <v/>
      </c>
      <c r="T5" s="22" t="s">
        <v>86</v>
      </c>
      <c r="U5" s="29" t="n">
        <f aca="false">IF(P5="",0,1)</f>
        <v>1</v>
      </c>
      <c r="V5" s="29" t="n">
        <f aca="false">IF(U5=0,"",COUNTIFS($U$5:$U$154,1,$O$5:$O$154,"&lt;"&amp;O5)+COUNTIFS($U$5:$U5,1,$O$5:$O5,O5))</f>
        <v>3</v>
      </c>
    </row>
    <row r="6" customFormat="false" ht="15" hidden="false" customHeight="false" outlineLevel="0" collapsed="false">
      <c r="A6" s="21" t="str">
        <f aca="false">IF(B6="","","C"&amp;TEXT(ROW()-4,"000"))</f>
        <v>C002</v>
      </c>
      <c r="B6" s="22" t="s">
        <v>87</v>
      </c>
      <c r="C6" s="22" t="s">
        <v>88</v>
      </c>
      <c r="D6" s="22" t="s">
        <v>89</v>
      </c>
      <c r="E6" s="22" t="s">
        <v>82</v>
      </c>
      <c r="F6" s="22" t="s">
        <v>90</v>
      </c>
      <c r="G6" s="22" t="s">
        <v>91</v>
      </c>
      <c r="H6" s="23" t="n">
        <v>6500</v>
      </c>
      <c r="I6" s="24" t="n">
        <f aca="false">IF(OR(B6="",G6=""),"",INDEX(Settings!$F$14:$F$21,MATCH(G6,Settings!$E$14:$E$21,0)))</f>
        <v>0.5</v>
      </c>
      <c r="J6" s="25" t="n">
        <f aca="false">IF(OR(I6="",H6=""),"",H6*I6)</f>
        <v>3250</v>
      </c>
      <c r="K6" s="21" t="str">
        <f aca="false">IF(OR(B6="",G6=""),"",INDEX(Settings!$G$14:$G$21,MATCH(G6,Settings!$E$14:$E$21,0)))</f>
        <v>Pipeline</v>
      </c>
      <c r="L6" s="26" t="n">
        <f aca="false">Settings!$C$6-12</f>
        <v>46277</v>
      </c>
      <c r="M6" s="26" t="n">
        <f aca="false">Settings!$C$6-5</f>
        <v>46284</v>
      </c>
      <c r="N6" s="22" t="s">
        <v>92</v>
      </c>
      <c r="O6" s="26" t="n">
        <f aca="false">Settings!$C$6+2</f>
        <v>46291</v>
      </c>
      <c r="P6" s="27" t="n">
        <f aca="false">IF(OR(B6="",O6="",G6="Lost"),"",O6-Settings!$C$6)</f>
        <v>2</v>
      </c>
      <c r="Q6" s="21" t="str">
        <f aca="false">IF(P6="","",IF(P6&lt;0,"Overdue",IF(P6&lt;=7,"Due this week","Upcoming")))</f>
        <v>Due this week</v>
      </c>
      <c r="R6" s="26"/>
      <c r="S6" s="28" t="str">
        <f aca="false">IF(AND(G6="7 · Past client",R6&lt;&gt;""),R6+90,"")</f>
        <v/>
      </c>
      <c r="T6" s="22" t="s">
        <v>86</v>
      </c>
      <c r="U6" s="29" t="n">
        <f aca="false">IF(P6="",0,1)</f>
        <v>1</v>
      </c>
      <c r="V6" s="29" t="n">
        <f aca="false">IF(U6=0,"",COUNTIFS($U$5:$U$154,1,$O$5:$O$154,"&lt;"&amp;O6)+COUNTIFS($U$5:$U6,1,$O$5:$O6,O6))</f>
        <v>4</v>
      </c>
    </row>
    <row r="7" customFormat="false" ht="15" hidden="false" customHeight="false" outlineLevel="0" collapsed="false">
      <c r="A7" s="21" t="str">
        <f aca="false">IF(B7="","","C"&amp;TEXT(ROW()-4,"000"))</f>
        <v>C003</v>
      </c>
      <c r="B7" s="22" t="s">
        <v>93</v>
      </c>
      <c r="C7" s="22" t="s">
        <v>94</v>
      </c>
      <c r="D7" s="22" t="s">
        <v>95</v>
      </c>
      <c r="E7" s="22" t="s">
        <v>96</v>
      </c>
      <c r="F7" s="22" t="s">
        <v>97</v>
      </c>
      <c r="G7" s="22" t="s">
        <v>98</v>
      </c>
      <c r="H7" s="23" t="n">
        <v>1200</v>
      </c>
      <c r="I7" s="24" t="n">
        <f aca="false">IF(OR(B7="",G7=""),"",INDEX(Settings!$F$14:$F$21,MATCH(G7,Settings!$E$14:$E$21,0)))</f>
        <v>0.25</v>
      </c>
      <c r="J7" s="25" t="n">
        <f aca="false">IF(OR(I7="",H7=""),"",H7*I7)</f>
        <v>300</v>
      </c>
      <c r="K7" s="21" t="str">
        <f aca="false">IF(OR(B7="",G7=""),"",INDEX(Settings!$G$14:$G$21,MATCH(G7,Settings!$E$14:$E$21,0)))</f>
        <v>Pipeline</v>
      </c>
      <c r="L7" s="26" t="n">
        <f aca="false">Settings!$C$6-4</f>
        <v>46285</v>
      </c>
      <c r="M7" s="26"/>
      <c r="N7" s="22" t="s">
        <v>99</v>
      </c>
      <c r="O7" s="26" t="n">
        <f aca="false">Settings!$C$6-1</f>
        <v>46288</v>
      </c>
      <c r="P7" s="27" t="n">
        <f aca="false">IF(OR(B7="",O7="",G7="Lost"),"",O7-Settings!$C$6)</f>
        <v>-1</v>
      </c>
      <c r="Q7" s="21" t="str">
        <f aca="false">IF(P7="","",IF(P7&lt;0,"Overdue",IF(P7&lt;=7,"Due this week","Upcoming")))</f>
        <v>Overdue</v>
      </c>
      <c r="R7" s="26"/>
      <c r="S7" s="28" t="str">
        <f aca="false">IF(AND(G7="7 · Past client",R7&lt;&gt;""),R7+90,"")</f>
        <v/>
      </c>
      <c r="T7" s="22" t="s">
        <v>86</v>
      </c>
      <c r="U7" s="29" t="n">
        <f aca="false">IF(P7="",0,1)</f>
        <v>1</v>
      </c>
      <c r="V7" s="29" t="n">
        <f aca="false">IF(U7=0,"",COUNTIFS($U$5:$U$154,1,$O$5:$O$154,"&lt;"&amp;O7)+COUNTIFS($U$5:$U7,1,$O$5:$O7,O7))</f>
        <v>1</v>
      </c>
    </row>
    <row r="8" customFormat="false" ht="15" hidden="false" customHeight="false" outlineLevel="0" collapsed="false">
      <c r="A8" s="21" t="str">
        <f aca="false">IF(B8="","","C"&amp;TEXT(ROW()-4,"000"))</f>
        <v>C004</v>
      </c>
      <c r="B8" s="22" t="s">
        <v>100</v>
      </c>
      <c r="C8" s="22" t="s">
        <v>101</v>
      </c>
      <c r="D8" s="22" t="s">
        <v>102</v>
      </c>
      <c r="E8" s="22" t="s">
        <v>82</v>
      </c>
      <c r="F8" s="22" t="s">
        <v>103</v>
      </c>
      <c r="G8" s="22" t="s">
        <v>104</v>
      </c>
      <c r="H8" s="23" t="n">
        <v>5200</v>
      </c>
      <c r="I8" s="24" t="n">
        <f aca="false">IF(OR(B8="",G8=""),"",INDEX(Settings!$F$14:$F$21,MATCH(G8,Settings!$E$14:$E$21,0)))</f>
        <v>1</v>
      </c>
      <c r="J8" s="25" t="n">
        <f aca="false">IF(OR(I8="",H8=""),"",H8*I8)</f>
        <v>5200</v>
      </c>
      <c r="K8" s="21" t="str">
        <f aca="false">IF(OR(B8="",G8=""),"",INDEX(Settings!$G$14:$G$21,MATCH(G8,Settings!$E$14:$E$21,0)))</f>
        <v>Active</v>
      </c>
      <c r="L8" s="26" t="n">
        <f aca="false">Settings!$C$6-20</f>
        <v>46269</v>
      </c>
      <c r="M8" s="26" t="n">
        <f aca="false">Settings!$C$6-14</f>
        <v>46275</v>
      </c>
      <c r="N8" s="22" t="s">
        <v>105</v>
      </c>
      <c r="O8" s="26" t="n">
        <f aca="false">Settings!$C$6+5</f>
        <v>46294</v>
      </c>
      <c r="P8" s="27" t="n">
        <f aca="false">IF(OR(B8="",O8="",G8="Lost"),"",O8-Settings!$C$6)</f>
        <v>5</v>
      </c>
      <c r="Q8" s="21" t="str">
        <f aca="false">IF(P8="","",IF(P8&lt;0,"Overdue",IF(P8&lt;=7,"Due this week","Upcoming")))</f>
        <v>Due this week</v>
      </c>
      <c r="R8" s="26"/>
      <c r="S8" s="28" t="str">
        <f aca="false">IF(AND(G8="7 · Past client",R8&lt;&gt;""),R8+90,"")</f>
        <v/>
      </c>
      <c r="T8" s="22" t="s">
        <v>86</v>
      </c>
      <c r="U8" s="29" t="n">
        <f aca="false">IF(P8="",0,1)</f>
        <v>1</v>
      </c>
      <c r="V8" s="29" t="n">
        <f aca="false">IF(U8=0,"",COUNTIFS($U$5:$U$154,1,$O$5:$O$154,"&lt;"&amp;O8)+COUNTIFS($U$5:$U8,1,$O$5:$O8,O8))</f>
        <v>5</v>
      </c>
    </row>
    <row r="9" customFormat="false" ht="15" hidden="false" customHeight="false" outlineLevel="0" collapsed="false">
      <c r="A9" s="21" t="str">
        <f aca="false">IF(B9="","","C"&amp;TEXT(ROW()-4,"000"))</f>
        <v>C005</v>
      </c>
      <c r="B9" s="22" t="s">
        <v>106</v>
      </c>
      <c r="C9" s="22" t="s">
        <v>107</v>
      </c>
      <c r="D9" s="22" t="s">
        <v>108</v>
      </c>
      <c r="E9" s="22" t="s">
        <v>109</v>
      </c>
      <c r="F9" s="22" t="s">
        <v>110</v>
      </c>
      <c r="G9" s="22" t="s">
        <v>111</v>
      </c>
      <c r="H9" s="23" t="n">
        <v>400</v>
      </c>
      <c r="I9" s="24" t="n">
        <f aca="false">IF(OR(B9="",G9=""),"",INDEX(Settings!$F$14:$F$21,MATCH(G9,Settings!$E$14:$E$21,0)))</f>
        <v>0.1</v>
      </c>
      <c r="J9" s="25" t="n">
        <f aca="false">IF(OR(I9="",H9=""),"",H9*I9)</f>
        <v>40</v>
      </c>
      <c r="K9" s="21" t="str">
        <f aca="false">IF(OR(B9="",G9=""),"",INDEX(Settings!$G$14:$G$21,MATCH(G9,Settings!$E$14:$E$21,0)))</f>
        <v>Pipeline</v>
      </c>
      <c r="L9" s="26" t="n">
        <f aca="false">Settings!$C$6-1</f>
        <v>46288</v>
      </c>
      <c r="M9" s="26"/>
      <c r="N9" s="22" t="s">
        <v>112</v>
      </c>
      <c r="O9" s="26" t="n">
        <f aca="false">Settings!$C$6</f>
        <v>46289</v>
      </c>
      <c r="P9" s="27" t="n">
        <f aca="false">IF(OR(B9="",O9="",G9="Lost"),"",O9-Settings!$C$6)</f>
        <v>0</v>
      </c>
      <c r="Q9" s="21" t="str">
        <f aca="false">IF(P9="","",IF(P9&lt;0,"Overdue",IF(P9&lt;=7,"Due this week","Upcoming")))</f>
        <v>Due this week</v>
      </c>
      <c r="R9" s="26"/>
      <c r="S9" s="28" t="str">
        <f aca="false">IF(AND(G9="7 · Past client",R9&lt;&gt;""),R9+90,"")</f>
        <v/>
      </c>
      <c r="T9" s="22" t="s">
        <v>86</v>
      </c>
      <c r="U9" s="29" t="n">
        <f aca="false">IF(P9="",0,1)</f>
        <v>1</v>
      </c>
      <c r="V9" s="29" t="n">
        <f aca="false">IF(U9=0,"",COUNTIFS($U$5:$U$154,1,$O$5:$O$154,"&lt;"&amp;O9)+COUNTIFS($U$5:$U9,1,$O$5:$O9,O9))</f>
        <v>2</v>
      </c>
    </row>
    <row r="10" customFormat="false" ht="15" hidden="false" customHeight="false" outlineLevel="0" collapsed="false">
      <c r="A10" s="21" t="str">
        <f aca="false">IF(B10="","","C"&amp;TEXT(ROW()-4,"000"))</f>
        <v>C006</v>
      </c>
      <c r="B10" s="22" t="s">
        <v>113</v>
      </c>
      <c r="C10" s="22" t="s">
        <v>114</v>
      </c>
      <c r="D10" s="22" t="s">
        <v>115</v>
      </c>
      <c r="E10" s="22" t="s">
        <v>82</v>
      </c>
      <c r="F10" s="22" t="s">
        <v>83</v>
      </c>
      <c r="G10" s="22" t="s">
        <v>116</v>
      </c>
      <c r="H10" s="23" t="n">
        <v>3900</v>
      </c>
      <c r="I10" s="24" t="n">
        <f aca="false">IF(OR(B10="",G10=""),"",INDEX(Settings!$F$14:$F$21,MATCH(G10,Settings!$E$14:$E$21,0)))</f>
        <v>0</v>
      </c>
      <c r="J10" s="25" t="n">
        <f aca="false">IF(OR(I10="",H10=""),"",H10*I10)</f>
        <v>0</v>
      </c>
      <c r="K10" s="21" t="str">
        <f aca="false">IF(OR(B10="",G10=""),"",INDEX(Settings!$G$14:$G$21,MATCH(G10,Settings!$E$14:$E$21,0)))</f>
        <v>Closed</v>
      </c>
      <c r="L10" s="26" t="n">
        <f aca="false">Settings!$C$6-200</f>
        <v>46089</v>
      </c>
      <c r="M10" s="26" t="n">
        <f aca="false">Settings!$C$6-190</f>
        <v>46099</v>
      </c>
      <c r="N10" s="22" t="s">
        <v>117</v>
      </c>
      <c r="O10" s="26" t="n">
        <f aca="false">Settings!$C$6+10</f>
        <v>46299</v>
      </c>
      <c r="P10" s="27" t="n">
        <f aca="false">IF(OR(B10="",O10="",G10="Lost"),"",O10-Settings!$C$6)</f>
        <v>10</v>
      </c>
      <c r="Q10" s="21" t="str">
        <f aca="false">IF(P10="","",IF(P10&lt;0,"Overdue",IF(P10&lt;=7,"Due this week","Upcoming")))</f>
        <v>Upcoming</v>
      </c>
      <c r="R10" s="26" t="n">
        <f aca="false">Settings!$C$6-80</f>
        <v>46209</v>
      </c>
      <c r="S10" s="28" t="n">
        <f aca="false">IF(AND(G10="7 · Past client",R10&lt;&gt;""),R10+90,"")</f>
        <v>46299</v>
      </c>
      <c r="T10" s="22" t="s">
        <v>86</v>
      </c>
      <c r="U10" s="29" t="n">
        <f aca="false">IF(P10="",0,1)</f>
        <v>1</v>
      </c>
      <c r="V10" s="29" t="n">
        <f aca="false">IF(U10=0,"",COUNTIFS($U$5:$U$154,1,$O$5:$O$154,"&lt;"&amp;O10)+COUNTIFS($U$5:$U10,1,$O$5:$O10,O10))</f>
        <v>6</v>
      </c>
    </row>
    <row r="11" customFormat="false" ht="15" hidden="false" customHeight="false" outlineLevel="0" collapsed="false">
      <c r="A11" s="21" t="str">
        <f aca="false">IF(B11="","","C"&amp;TEXT(ROW()-4,"000"))</f>
        <v>C007</v>
      </c>
      <c r="B11" s="22" t="s">
        <v>118</v>
      </c>
      <c r="C11" s="22" t="s">
        <v>119</v>
      </c>
      <c r="D11" s="22" t="s">
        <v>120</v>
      </c>
      <c r="E11" s="22" t="s">
        <v>82</v>
      </c>
      <c r="F11" s="22" t="s">
        <v>97</v>
      </c>
      <c r="G11" s="22" t="s">
        <v>121</v>
      </c>
      <c r="H11" s="23" t="n">
        <v>3000</v>
      </c>
      <c r="I11" s="24" t="n">
        <f aca="false">IF(OR(B11="",G11=""),"",INDEX(Settings!$F$14:$F$21,MATCH(G11,Settings!$E$14:$E$21,0)))</f>
        <v>0</v>
      </c>
      <c r="J11" s="25" t="n">
        <f aca="false">IF(OR(I11="",H11=""),"",H11*I11)</f>
        <v>0</v>
      </c>
      <c r="K11" s="21" t="str">
        <f aca="false">IF(OR(B11="",G11=""),"",INDEX(Settings!$G$14:$G$21,MATCH(G11,Settings!$E$14:$E$21,0)))</f>
        <v>Closed</v>
      </c>
      <c r="L11" s="26" t="n">
        <f aca="false">Settings!$C$6-90</f>
        <v>46199</v>
      </c>
      <c r="M11" s="26" t="n">
        <f aca="false">Settings!$C$6-80</f>
        <v>46209</v>
      </c>
      <c r="N11" s="22"/>
      <c r="O11" s="26"/>
      <c r="P11" s="27" t="str">
        <f aca="false">IF(OR(B11="",O11="",G11="Lost"),"",O11-Settings!$C$6)</f>
        <v/>
      </c>
      <c r="Q11" s="21" t="str">
        <f aca="false">IF(P11="","",IF(P11&lt;0,"Overdue",IF(P11&lt;=7,"Due this week","Upcoming")))</f>
        <v/>
      </c>
      <c r="R11" s="26"/>
      <c r="S11" s="28" t="str">
        <f aca="false">IF(AND(G11="7 · Past client",R11&lt;&gt;""),R11+90,"")</f>
        <v/>
      </c>
      <c r="T11" s="22" t="s">
        <v>122</v>
      </c>
      <c r="U11" s="29" t="n">
        <f aca="false">IF(P11="",0,1)</f>
        <v>0</v>
      </c>
      <c r="V11" s="29" t="str">
        <f aca="false">IF(U11=0,"",COUNTIFS($U$5:$U$154,1,$O$5:$O$154,"&lt;"&amp;O11)+COUNTIFS($U$5:$U11,1,$O$5:$O11,O11))</f>
        <v/>
      </c>
    </row>
    <row r="12" customFormat="false" ht="15" hidden="false" customHeight="false" outlineLevel="0" collapsed="false">
      <c r="A12" s="21" t="str">
        <f aca="false">IF(B12="","","C"&amp;TEXT(ROW()-4,"000"))</f>
        <v/>
      </c>
      <c r="B12" s="22"/>
      <c r="C12" s="22"/>
      <c r="D12" s="22"/>
      <c r="E12" s="22"/>
      <c r="F12" s="22"/>
      <c r="G12" s="22"/>
      <c r="H12" s="23"/>
      <c r="I12" s="24" t="str">
        <f aca="false">IF(OR(B12="",G12=""),"",INDEX(Settings!$F$14:$F$21,MATCH(G12,Settings!$E$14:$E$21,0)))</f>
        <v/>
      </c>
      <c r="J12" s="25" t="str">
        <f aca="false">IF(OR(I12="",H12=""),"",H12*I12)</f>
        <v/>
      </c>
      <c r="K12" s="21" t="str">
        <f aca="false">IF(OR(B12="",G12=""),"",INDEX(Settings!$G$14:$G$21,MATCH(G12,Settings!$E$14:$E$21,0)))</f>
        <v/>
      </c>
      <c r="L12" s="26"/>
      <c r="M12" s="26"/>
      <c r="N12" s="22"/>
      <c r="O12" s="26"/>
      <c r="P12" s="27" t="str">
        <f aca="false">IF(OR(B12="",O12="",G12="Lost"),"",O12-Settings!$C$6)</f>
        <v/>
      </c>
      <c r="Q12" s="21" t="str">
        <f aca="false">IF(P12="","",IF(P12&lt;0,"Overdue",IF(P12&lt;=7,"Due this week","Upcoming")))</f>
        <v/>
      </c>
      <c r="R12" s="26"/>
      <c r="S12" s="28" t="str">
        <f aca="false">IF(AND(G12="7 · Past client",R12&lt;&gt;""),R12+90,"")</f>
        <v/>
      </c>
      <c r="T12" s="22"/>
      <c r="U12" s="29" t="n">
        <f aca="false">IF(P12="",0,1)</f>
        <v>0</v>
      </c>
      <c r="V12" s="29" t="str">
        <f aca="false">IF(U12=0,"",COUNTIFS($U$5:$U$154,1,$O$5:$O$154,"&lt;"&amp;O12)+COUNTIFS($U$5:$U12,1,$O$5:$O12,O12))</f>
        <v/>
      </c>
    </row>
    <row r="13" customFormat="false" ht="15" hidden="false" customHeight="false" outlineLevel="0" collapsed="false">
      <c r="A13" s="21" t="str">
        <f aca="false">IF(B13="","","C"&amp;TEXT(ROW()-4,"000"))</f>
        <v/>
      </c>
      <c r="B13" s="22"/>
      <c r="C13" s="22"/>
      <c r="D13" s="22"/>
      <c r="E13" s="22"/>
      <c r="F13" s="22"/>
      <c r="G13" s="22"/>
      <c r="H13" s="23"/>
      <c r="I13" s="24" t="str">
        <f aca="false">IF(OR(B13="",G13=""),"",INDEX(Settings!$F$14:$F$21,MATCH(G13,Settings!$E$14:$E$21,0)))</f>
        <v/>
      </c>
      <c r="J13" s="25" t="str">
        <f aca="false">IF(OR(I13="",H13=""),"",H13*I13)</f>
        <v/>
      </c>
      <c r="K13" s="21" t="str">
        <f aca="false">IF(OR(B13="",G13=""),"",INDEX(Settings!$G$14:$G$21,MATCH(G13,Settings!$E$14:$E$21,0)))</f>
        <v/>
      </c>
      <c r="L13" s="26"/>
      <c r="M13" s="26"/>
      <c r="N13" s="22"/>
      <c r="O13" s="26"/>
      <c r="P13" s="27" t="str">
        <f aca="false">IF(OR(B13="",O13="",G13="Lost"),"",O13-Settings!$C$6)</f>
        <v/>
      </c>
      <c r="Q13" s="21" t="str">
        <f aca="false">IF(P13="","",IF(P13&lt;0,"Overdue",IF(P13&lt;=7,"Due this week","Upcoming")))</f>
        <v/>
      </c>
      <c r="R13" s="26"/>
      <c r="S13" s="28" t="str">
        <f aca="false">IF(AND(G13="7 · Past client",R13&lt;&gt;""),R13+90,"")</f>
        <v/>
      </c>
      <c r="T13" s="22"/>
      <c r="U13" s="29" t="n">
        <f aca="false">IF(P13="",0,1)</f>
        <v>0</v>
      </c>
      <c r="V13" s="29" t="str">
        <f aca="false">IF(U13=0,"",COUNTIFS($U$5:$U$154,1,$O$5:$O$154,"&lt;"&amp;O13)+COUNTIFS($U$5:$U13,1,$O$5:$O13,O13))</f>
        <v/>
      </c>
    </row>
    <row r="14" customFormat="false" ht="15" hidden="false" customHeight="false" outlineLevel="0" collapsed="false">
      <c r="A14" s="21" t="str">
        <f aca="false">IF(B14="","","C"&amp;TEXT(ROW()-4,"000"))</f>
        <v/>
      </c>
      <c r="B14" s="22"/>
      <c r="C14" s="22"/>
      <c r="D14" s="22"/>
      <c r="E14" s="22"/>
      <c r="F14" s="22"/>
      <c r="G14" s="22"/>
      <c r="H14" s="23"/>
      <c r="I14" s="24" t="str">
        <f aca="false">IF(OR(B14="",G14=""),"",INDEX(Settings!$F$14:$F$21,MATCH(G14,Settings!$E$14:$E$21,0)))</f>
        <v/>
      </c>
      <c r="J14" s="25" t="str">
        <f aca="false">IF(OR(I14="",H14=""),"",H14*I14)</f>
        <v/>
      </c>
      <c r="K14" s="21" t="str">
        <f aca="false">IF(OR(B14="",G14=""),"",INDEX(Settings!$G$14:$G$21,MATCH(G14,Settings!$E$14:$E$21,0)))</f>
        <v/>
      </c>
      <c r="L14" s="26"/>
      <c r="M14" s="26"/>
      <c r="N14" s="22"/>
      <c r="O14" s="26"/>
      <c r="P14" s="27" t="str">
        <f aca="false">IF(OR(B14="",O14="",G14="Lost"),"",O14-Settings!$C$6)</f>
        <v/>
      </c>
      <c r="Q14" s="21" t="str">
        <f aca="false">IF(P14="","",IF(P14&lt;0,"Overdue",IF(P14&lt;=7,"Due this week","Upcoming")))</f>
        <v/>
      </c>
      <c r="R14" s="26"/>
      <c r="S14" s="28" t="str">
        <f aca="false">IF(AND(G14="7 · Past client",R14&lt;&gt;""),R14+90,"")</f>
        <v/>
      </c>
      <c r="T14" s="22"/>
      <c r="U14" s="29" t="n">
        <f aca="false">IF(P14="",0,1)</f>
        <v>0</v>
      </c>
      <c r="V14" s="29" t="str">
        <f aca="false">IF(U14=0,"",COUNTIFS($U$5:$U$154,1,$O$5:$O$154,"&lt;"&amp;O14)+COUNTIFS($U$5:$U14,1,$O$5:$O14,O14))</f>
        <v/>
      </c>
    </row>
    <row r="15" customFormat="false" ht="15" hidden="false" customHeight="false" outlineLevel="0" collapsed="false">
      <c r="A15" s="21" t="str">
        <f aca="false">IF(B15="","","C"&amp;TEXT(ROW()-4,"000"))</f>
        <v/>
      </c>
      <c r="B15" s="22"/>
      <c r="C15" s="22"/>
      <c r="D15" s="22"/>
      <c r="E15" s="22"/>
      <c r="F15" s="22"/>
      <c r="G15" s="22"/>
      <c r="H15" s="23"/>
      <c r="I15" s="24" t="str">
        <f aca="false">IF(OR(B15="",G15=""),"",INDEX(Settings!$F$14:$F$21,MATCH(G15,Settings!$E$14:$E$21,0)))</f>
        <v/>
      </c>
      <c r="J15" s="25" t="str">
        <f aca="false">IF(OR(I15="",H15=""),"",H15*I15)</f>
        <v/>
      </c>
      <c r="K15" s="21" t="str">
        <f aca="false">IF(OR(B15="",G15=""),"",INDEX(Settings!$G$14:$G$21,MATCH(G15,Settings!$E$14:$E$21,0)))</f>
        <v/>
      </c>
      <c r="L15" s="26"/>
      <c r="M15" s="26"/>
      <c r="N15" s="22"/>
      <c r="O15" s="26"/>
      <c r="P15" s="27" t="str">
        <f aca="false">IF(OR(B15="",O15="",G15="Lost"),"",O15-Settings!$C$6)</f>
        <v/>
      </c>
      <c r="Q15" s="21" t="str">
        <f aca="false">IF(P15="","",IF(P15&lt;0,"Overdue",IF(P15&lt;=7,"Due this week","Upcoming")))</f>
        <v/>
      </c>
      <c r="R15" s="26"/>
      <c r="S15" s="28" t="str">
        <f aca="false">IF(AND(G15="7 · Past client",R15&lt;&gt;""),R15+90,"")</f>
        <v/>
      </c>
      <c r="T15" s="22"/>
      <c r="U15" s="29" t="n">
        <f aca="false">IF(P15="",0,1)</f>
        <v>0</v>
      </c>
      <c r="V15" s="29" t="str">
        <f aca="false">IF(U15=0,"",COUNTIFS($U$5:$U$154,1,$O$5:$O$154,"&lt;"&amp;O15)+COUNTIFS($U$5:$U15,1,$O$5:$O15,O15))</f>
        <v/>
      </c>
    </row>
    <row r="16" customFormat="false" ht="15" hidden="false" customHeight="false" outlineLevel="0" collapsed="false">
      <c r="A16" s="21" t="str">
        <f aca="false">IF(B16="","","C"&amp;TEXT(ROW()-4,"000"))</f>
        <v/>
      </c>
      <c r="B16" s="22"/>
      <c r="C16" s="22"/>
      <c r="D16" s="22"/>
      <c r="E16" s="22"/>
      <c r="F16" s="22"/>
      <c r="G16" s="22"/>
      <c r="H16" s="23"/>
      <c r="I16" s="24" t="str">
        <f aca="false">IF(OR(B16="",G16=""),"",INDEX(Settings!$F$14:$F$21,MATCH(G16,Settings!$E$14:$E$21,0)))</f>
        <v/>
      </c>
      <c r="J16" s="25" t="str">
        <f aca="false">IF(OR(I16="",H16=""),"",H16*I16)</f>
        <v/>
      </c>
      <c r="K16" s="21" t="str">
        <f aca="false">IF(OR(B16="",G16=""),"",INDEX(Settings!$G$14:$G$21,MATCH(G16,Settings!$E$14:$E$21,0)))</f>
        <v/>
      </c>
      <c r="L16" s="26"/>
      <c r="M16" s="26"/>
      <c r="N16" s="22"/>
      <c r="O16" s="26"/>
      <c r="P16" s="27" t="str">
        <f aca="false">IF(OR(B16="",O16="",G16="Lost"),"",O16-Settings!$C$6)</f>
        <v/>
      </c>
      <c r="Q16" s="21" t="str">
        <f aca="false">IF(P16="","",IF(P16&lt;0,"Overdue",IF(P16&lt;=7,"Due this week","Upcoming")))</f>
        <v/>
      </c>
      <c r="R16" s="26"/>
      <c r="S16" s="28" t="str">
        <f aca="false">IF(AND(G16="7 · Past client",R16&lt;&gt;""),R16+90,"")</f>
        <v/>
      </c>
      <c r="T16" s="22"/>
      <c r="U16" s="29" t="n">
        <f aca="false">IF(P16="",0,1)</f>
        <v>0</v>
      </c>
      <c r="V16" s="29" t="str">
        <f aca="false">IF(U16=0,"",COUNTIFS($U$5:$U$154,1,$O$5:$O$154,"&lt;"&amp;O16)+COUNTIFS($U$5:$U16,1,$O$5:$O16,O16))</f>
        <v/>
      </c>
    </row>
    <row r="17" customFormat="false" ht="15" hidden="false" customHeight="false" outlineLevel="0" collapsed="false">
      <c r="A17" s="21" t="str">
        <f aca="false">IF(B17="","","C"&amp;TEXT(ROW()-4,"000"))</f>
        <v/>
      </c>
      <c r="B17" s="22"/>
      <c r="C17" s="22"/>
      <c r="D17" s="22"/>
      <c r="E17" s="22"/>
      <c r="F17" s="22"/>
      <c r="G17" s="22"/>
      <c r="H17" s="23"/>
      <c r="I17" s="24" t="str">
        <f aca="false">IF(OR(B17="",G17=""),"",INDEX(Settings!$F$14:$F$21,MATCH(G17,Settings!$E$14:$E$21,0)))</f>
        <v/>
      </c>
      <c r="J17" s="25" t="str">
        <f aca="false">IF(OR(I17="",H17=""),"",H17*I17)</f>
        <v/>
      </c>
      <c r="K17" s="21" t="str">
        <f aca="false">IF(OR(B17="",G17=""),"",INDEX(Settings!$G$14:$G$21,MATCH(G17,Settings!$E$14:$E$21,0)))</f>
        <v/>
      </c>
      <c r="L17" s="26"/>
      <c r="M17" s="26"/>
      <c r="N17" s="22"/>
      <c r="O17" s="26"/>
      <c r="P17" s="27" t="str">
        <f aca="false">IF(OR(B17="",O17="",G17="Lost"),"",O17-Settings!$C$6)</f>
        <v/>
      </c>
      <c r="Q17" s="21" t="str">
        <f aca="false">IF(P17="","",IF(P17&lt;0,"Overdue",IF(P17&lt;=7,"Due this week","Upcoming")))</f>
        <v/>
      </c>
      <c r="R17" s="26"/>
      <c r="S17" s="28" t="str">
        <f aca="false">IF(AND(G17="7 · Past client",R17&lt;&gt;""),R17+90,"")</f>
        <v/>
      </c>
      <c r="T17" s="22"/>
      <c r="U17" s="29" t="n">
        <f aca="false">IF(P17="",0,1)</f>
        <v>0</v>
      </c>
      <c r="V17" s="29" t="str">
        <f aca="false">IF(U17=0,"",COUNTIFS($U$5:$U$154,1,$O$5:$O$154,"&lt;"&amp;O17)+COUNTIFS($U$5:$U17,1,$O$5:$O17,O17))</f>
        <v/>
      </c>
    </row>
    <row r="18" customFormat="false" ht="15" hidden="false" customHeight="false" outlineLevel="0" collapsed="false">
      <c r="A18" s="21" t="str">
        <f aca="false">IF(B18="","","C"&amp;TEXT(ROW()-4,"000"))</f>
        <v/>
      </c>
      <c r="B18" s="22"/>
      <c r="C18" s="22"/>
      <c r="D18" s="22"/>
      <c r="E18" s="22"/>
      <c r="F18" s="22"/>
      <c r="G18" s="22"/>
      <c r="H18" s="23"/>
      <c r="I18" s="24" t="str">
        <f aca="false">IF(OR(B18="",G18=""),"",INDEX(Settings!$F$14:$F$21,MATCH(G18,Settings!$E$14:$E$21,0)))</f>
        <v/>
      </c>
      <c r="J18" s="25" t="str">
        <f aca="false">IF(OR(I18="",H18=""),"",H18*I18)</f>
        <v/>
      </c>
      <c r="K18" s="21" t="str">
        <f aca="false">IF(OR(B18="",G18=""),"",INDEX(Settings!$G$14:$G$21,MATCH(G18,Settings!$E$14:$E$21,0)))</f>
        <v/>
      </c>
      <c r="L18" s="26"/>
      <c r="M18" s="26"/>
      <c r="N18" s="22"/>
      <c r="O18" s="26"/>
      <c r="P18" s="27" t="str">
        <f aca="false">IF(OR(B18="",O18="",G18="Lost"),"",O18-Settings!$C$6)</f>
        <v/>
      </c>
      <c r="Q18" s="21" t="str">
        <f aca="false">IF(P18="","",IF(P18&lt;0,"Overdue",IF(P18&lt;=7,"Due this week","Upcoming")))</f>
        <v/>
      </c>
      <c r="R18" s="26"/>
      <c r="S18" s="28" t="str">
        <f aca="false">IF(AND(G18="7 · Past client",R18&lt;&gt;""),R18+90,"")</f>
        <v/>
      </c>
      <c r="T18" s="22"/>
      <c r="U18" s="29" t="n">
        <f aca="false">IF(P18="",0,1)</f>
        <v>0</v>
      </c>
      <c r="V18" s="29" t="str">
        <f aca="false">IF(U18=0,"",COUNTIFS($U$5:$U$154,1,$O$5:$O$154,"&lt;"&amp;O18)+COUNTIFS($U$5:$U18,1,$O$5:$O18,O18))</f>
        <v/>
      </c>
    </row>
    <row r="19" customFormat="false" ht="15" hidden="false" customHeight="false" outlineLevel="0" collapsed="false">
      <c r="A19" s="21" t="str">
        <f aca="false">IF(B19="","","C"&amp;TEXT(ROW()-4,"000"))</f>
        <v/>
      </c>
      <c r="B19" s="22"/>
      <c r="C19" s="22"/>
      <c r="D19" s="22"/>
      <c r="E19" s="22"/>
      <c r="F19" s="22"/>
      <c r="G19" s="22"/>
      <c r="H19" s="23"/>
      <c r="I19" s="24" t="str">
        <f aca="false">IF(OR(B19="",G19=""),"",INDEX(Settings!$F$14:$F$21,MATCH(G19,Settings!$E$14:$E$21,0)))</f>
        <v/>
      </c>
      <c r="J19" s="25" t="str">
        <f aca="false">IF(OR(I19="",H19=""),"",H19*I19)</f>
        <v/>
      </c>
      <c r="K19" s="21" t="str">
        <f aca="false">IF(OR(B19="",G19=""),"",INDEX(Settings!$G$14:$G$21,MATCH(G19,Settings!$E$14:$E$21,0)))</f>
        <v/>
      </c>
      <c r="L19" s="26"/>
      <c r="M19" s="26"/>
      <c r="N19" s="22"/>
      <c r="O19" s="26"/>
      <c r="P19" s="27" t="str">
        <f aca="false">IF(OR(B19="",O19="",G19="Lost"),"",O19-Settings!$C$6)</f>
        <v/>
      </c>
      <c r="Q19" s="21" t="str">
        <f aca="false">IF(P19="","",IF(P19&lt;0,"Overdue",IF(P19&lt;=7,"Due this week","Upcoming")))</f>
        <v/>
      </c>
      <c r="R19" s="26"/>
      <c r="S19" s="28" t="str">
        <f aca="false">IF(AND(G19="7 · Past client",R19&lt;&gt;""),R19+90,"")</f>
        <v/>
      </c>
      <c r="T19" s="22"/>
      <c r="U19" s="29" t="n">
        <f aca="false">IF(P19="",0,1)</f>
        <v>0</v>
      </c>
      <c r="V19" s="29" t="str">
        <f aca="false">IF(U19=0,"",COUNTIFS($U$5:$U$154,1,$O$5:$O$154,"&lt;"&amp;O19)+COUNTIFS($U$5:$U19,1,$O$5:$O19,O19))</f>
        <v/>
      </c>
    </row>
    <row r="20" customFormat="false" ht="15" hidden="false" customHeight="false" outlineLevel="0" collapsed="false">
      <c r="A20" s="21" t="str">
        <f aca="false">IF(B20="","","C"&amp;TEXT(ROW()-4,"000"))</f>
        <v/>
      </c>
      <c r="B20" s="22"/>
      <c r="C20" s="22"/>
      <c r="D20" s="22"/>
      <c r="E20" s="22"/>
      <c r="F20" s="22"/>
      <c r="G20" s="22"/>
      <c r="H20" s="23"/>
      <c r="I20" s="24" t="str">
        <f aca="false">IF(OR(B20="",G20=""),"",INDEX(Settings!$F$14:$F$21,MATCH(G20,Settings!$E$14:$E$21,0)))</f>
        <v/>
      </c>
      <c r="J20" s="25" t="str">
        <f aca="false">IF(OR(I20="",H20=""),"",H20*I20)</f>
        <v/>
      </c>
      <c r="K20" s="21" t="str">
        <f aca="false">IF(OR(B20="",G20=""),"",INDEX(Settings!$G$14:$G$21,MATCH(G20,Settings!$E$14:$E$21,0)))</f>
        <v/>
      </c>
      <c r="L20" s="26"/>
      <c r="M20" s="26"/>
      <c r="N20" s="22"/>
      <c r="O20" s="26"/>
      <c r="P20" s="27" t="str">
        <f aca="false">IF(OR(B20="",O20="",G20="Lost"),"",O20-Settings!$C$6)</f>
        <v/>
      </c>
      <c r="Q20" s="21" t="str">
        <f aca="false">IF(P20="","",IF(P20&lt;0,"Overdue",IF(P20&lt;=7,"Due this week","Upcoming")))</f>
        <v/>
      </c>
      <c r="R20" s="26"/>
      <c r="S20" s="28" t="str">
        <f aca="false">IF(AND(G20="7 · Past client",R20&lt;&gt;""),R20+90,"")</f>
        <v/>
      </c>
      <c r="T20" s="22"/>
      <c r="U20" s="29" t="n">
        <f aca="false">IF(P20="",0,1)</f>
        <v>0</v>
      </c>
      <c r="V20" s="29" t="str">
        <f aca="false">IF(U20=0,"",COUNTIFS($U$5:$U$154,1,$O$5:$O$154,"&lt;"&amp;O20)+COUNTIFS($U$5:$U20,1,$O$5:$O20,O20))</f>
        <v/>
      </c>
    </row>
    <row r="21" customFormat="false" ht="15" hidden="false" customHeight="false" outlineLevel="0" collapsed="false">
      <c r="A21" s="21" t="str">
        <f aca="false">IF(B21="","","C"&amp;TEXT(ROW()-4,"000"))</f>
        <v/>
      </c>
      <c r="B21" s="22"/>
      <c r="C21" s="22"/>
      <c r="D21" s="22"/>
      <c r="E21" s="22"/>
      <c r="F21" s="22"/>
      <c r="G21" s="22"/>
      <c r="H21" s="23"/>
      <c r="I21" s="24" t="str">
        <f aca="false">IF(OR(B21="",G21=""),"",INDEX(Settings!$F$14:$F$21,MATCH(G21,Settings!$E$14:$E$21,0)))</f>
        <v/>
      </c>
      <c r="J21" s="25" t="str">
        <f aca="false">IF(OR(I21="",H21=""),"",H21*I21)</f>
        <v/>
      </c>
      <c r="K21" s="21" t="str">
        <f aca="false">IF(OR(B21="",G21=""),"",INDEX(Settings!$G$14:$G$21,MATCH(G21,Settings!$E$14:$E$21,0)))</f>
        <v/>
      </c>
      <c r="L21" s="26"/>
      <c r="M21" s="26"/>
      <c r="N21" s="22"/>
      <c r="O21" s="26"/>
      <c r="P21" s="27" t="str">
        <f aca="false">IF(OR(B21="",O21="",G21="Lost"),"",O21-Settings!$C$6)</f>
        <v/>
      </c>
      <c r="Q21" s="21" t="str">
        <f aca="false">IF(P21="","",IF(P21&lt;0,"Overdue",IF(P21&lt;=7,"Due this week","Upcoming")))</f>
        <v/>
      </c>
      <c r="R21" s="26"/>
      <c r="S21" s="28" t="str">
        <f aca="false">IF(AND(G21="7 · Past client",R21&lt;&gt;""),R21+90,"")</f>
        <v/>
      </c>
      <c r="T21" s="22"/>
      <c r="U21" s="29" t="n">
        <f aca="false">IF(P21="",0,1)</f>
        <v>0</v>
      </c>
      <c r="V21" s="29" t="str">
        <f aca="false">IF(U21=0,"",COUNTIFS($U$5:$U$154,1,$O$5:$O$154,"&lt;"&amp;O21)+COUNTIFS($U$5:$U21,1,$O$5:$O21,O21))</f>
        <v/>
      </c>
    </row>
    <row r="22" customFormat="false" ht="15" hidden="false" customHeight="false" outlineLevel="0" collapsed="false">
      <c r="A22" s="21" t="str">
        <f aca="false">IF(B22="","","C"&amp;TEXT(ROW()-4,"000"))</f>
        <v/>
      </c>
      <c r="B22" s="22"/>
      <c r="C22" s="22"/>
      <c r="D22" s="22"/>
      <c r="E22" s="22"/>
      <c r="F22" s="22"/>
      <c r="G22" s="22"/>
      <c r="H22" s="23"/>
      <c r="I22" s="24" t="str">
        <f aca="false">IF(OR(B22="",G22=""),"",INDEX(Settings!$F$14:$F$21,MATCH(G22,Settings!$E$14:$E$21,0)))</f>
        <v/>
      </c>
      <c r="J22" s="25" t="str">
        <f aca="false">IF(OR(I22="",H22=""),"",H22*I22)</f>
        <v/>
      </c>
      <c r="K22" s="21" t="str">
        <f aca="false">IF(OR(B22="",G22=""),"",INDEX(Settings!$G$14:$G$21,MATCH(G22,Settings!$E$14:$E$21,0)))</f>
        <v/>
      </c>
      <c r="L22" s="26"/>
      <c r="M22" s="26"/>
      <c r="N22" s="22"/>
      <c r="O22" s="26"/>
      <c r="P22" s="27" t="str">
        <f aca="false">IF(OR(B22="",O22="",G22="Lost"),"",O22-Settings!$C$6)</f>
        <v/>
      </c>
      <c r="Q22" s="21" t="str">
        <f aca="false">IF(P22="","",IF(P22&lt;0,"Overdue",IF(P22&lt;=7,"Due this week","Upcoming")))</f>
        <v/>
      </c>
      <c r="R22" s="26"/>
      <c r="S22" s="28" t="str">
        <f aca="false">IF(AND(G22="7 · Past client",R22&lt;&gt;""),R22+90,"")</f>
        <v/>
      </c>
      <c r="T22" s="22"/>
      <c r="U22" s="29" t="n">
        <f aca="false">IF(P22="",0,1)</f>
        <v>0</v>
      </c>
      <c r="V22" s="29" t="str">
        <f aca="false">IF(U22=0,"",COUNTIFS($U$5:$U$154,1,$O$5:$O$154,"&lt;"&amp;O22)+COUNTIFS($U$5:$U22,1,$O$5:$O22,O22))</f>
        <v/>
      </c>
    </row>
    <row r="23" customFormat="false" ht="15" hidden="false" customHeight="false" outlineLevel="0" collapsed="false">
      <c r="A23" s="21" t="str">
        <f aca="false">IF(B23="","","C"&amp;TEXT(ROW()-4,"000"))</f>
        <v/>
      </c>
      <c r="B23" s="22"/>
      <c r="C23" s="22"/>
      <c r="D23" s="22"/>
      <c r="E23" s="22"/>
      <c r="F23" s="22"/>
      <c r="G23" s="22"/>
      <c r="H23" s="23"/>
      <c r="I23" s="24" t="str">
        <f aca="false">IF(OR(B23="",G23=""),"",INDEX(Settings!$F$14:$F$21,MATCH(G23,Settings!$E$14:$E$21,0)))</f>
        <v/>
      </c>
      <c r="J23" s="25" t="str">
        <f aca="false">IF(OR(I23="",H23=""),"",H23*I23)</f>
        <v/>
      </c>
      <c r="K23" s="21" t="str">
        <f aca="false">IF(OR(B23="",G23=""),"",INDEX(Settings!$G$14:$G$21,MATCH(G23,Settings!$E$14:$E$21,0)))</f>
        <v/>
      </c>
      <c r="L23" s="26"/>
      <c r="M23" s="26"/>
      <c r="N23" s="22"/>
      <c r="O23" s="26"/>
      <c r="P23" s="27" t="str">
        <f aca="false">IF(OR(B23="",O23="",G23="Lost"),"",O23-Settings!$C$6)</f>
        <v/>
      </c>
      <c r="Q23" s="21" t="str">
        <f aca="false">IF(P23="","",IF(P23&lt;0,"Overdue",IF(P23&lt;=7,"Due this week","Upcoming")))</f>
        <v/>
      </c>
      <c r="R23" s="26"/>
      <c r="S23" s="28" t="str">
        <f aca="false">IF(AND(G23="7 · Past client",R23&lt;&gt;""),R23+90,"")</f>
        <v/>
      </c>
      <c r="T23" s="22"/>
      <c r="U23" s="29" t="n">
        <f aca="false">IF(P23="",0,1)</f>
        <v>0</v>
      </c>
      <c r="V23" s="29" t="str">
        <f aca="false">IF(U23=0,"",COUNTIFS($U$5:$U$154,1,$O$5:$O$154,"&lt;"&amp;O23)+COUNTIFS($U$5:$U23,1,$O$5:$O23,O23))</f>
        <v/>
      </c>
    </row>
    <row r="24" customFormat="false" ht="15" hidden="false" customHeight="false" outlineLevel="0" collapsed="false">
      <c r="A24" s="21" t="str">
        <f aca="false">IF(B24="","","C"&amp;TEXT(ROW()-4,"000"))</f>
        <v/>
      </c>
      <c r="B24" s="22"/>
      <c r="C24" s="22"/>
      <c r="D24" s="22"/>
      <c r="E24" s="22"/>
      <c r="F24" s="22"/>
      <c r="G24" s="22"/>
      <c r="H24" s="23"/>
      <c r="I24" s="24" t="str">
        <f aca="false">IF(OR(B24="",G24=""),"",INDEX(Settings!$F$14:$F$21,MATCH(G24,Settings!$E$14:$E$21,0)))</f>
        <v/>
      </c>
      <c r="J24" s="25" t="str">
        <f aca="false">IF(OR(I24="",H24=""),"",H24*I24)</f>
        <v/>
      </c>
      <c r="K24" s="21" t="str">
        <f aca="false">IF(OR(B24="",G24=""),"",INDEX(Settings!$G$14:$G$21,MATCH(G24,Settings!$E$14:$E$21,0)))</f>
        <v/>
      </c>
      <c r="L24" s="26"/>
      <c r="M24" s="26"/>
      <c r="N24" s="22"/>
      <c r="O24" s="26"/>
      <c r="P24" s="27" t="str">
        <f aca="false">IF(OR(B24="",O24="",G24="Lost"),"",O24-Settings!$C$6)</f>
        <v/>
      </c>
      <c r="Q24" s="21" t="str">
        <f aca="false">IF(P24="","",IF(P24&lt;0,"Overdue",IF(P24&lt;=7,"Due this week","Upcoming")))</f>
        <v/>
      </c>
      <c r="R24" s="26"/>
      <c r="S24" s="28" t="str">
        <f aca="false">IF(AND(G24="7 · Past client",R24&lt;&gt;""),R24+90,"")</f>
        <v/>
      </c>
      <c r="T24" s="22"/>
      <c r="U24" s="29" t="n">
        <f aca="false">IF(P24="",0,1)</f>
        <v>0</v>
      </c>
      <c r="V24" s="29" t="str">
        <f aca="false">IF(U24=0,"",COUNTIFS($U$5:$U$154,1,$O$5:$O$154,"&lt;"&amp;O24)+COUNTIFS($U$5:$U24,1,$O$5:$O24,O24))</f>
        <v/>
      </c>
    </row>
    <row r="25" customFormat="false" ht="15" hidden="false" customHeight="false" outlineLevel="0" collapsed="false">
      <c r="A25" s="21" t="str">
        <f aca="false">IF(B25="","","C"&amp;TEXT(ROW()-4,"000"))</f>
        <v/>
      </c>
      <c r="B25" s="22"/>
      <c r="C25" s="22"/>
      <c r="D25" s="22"/>
      <c r="E25" s="22"/>
      <c r="F25" s="22"/>
      <c r="G25" s="22"/>
      <c r="H25" s="23"/>
      <c r="I25" s="24" t="str">
        <f aca="false">IF(OR(B25="",G25=""),"",INDEX(Settings!$F$14:$F$21,MATCH(G25,Settings!$E$14:$E$21,0)))</f>
        <v/>
      </c>
      <c r="J25" s="25" t="str">
        <f aca="false">IF(OR(I25="",H25=""),"",H25*I25)</f>
        <v/>
      </c>
      <c r="K25" s="21" t="str">
        <f aca="false">IF(OR(B25="",G25=""),"",INDEX(Settings!$G$14:$G$21,MATCH(G25,Settings!$E$14:$E$21,0)))</f>
        <v/>
      </c>
      <c r="L25" s="26"/>
      <c r="M25" s="26"/>
      <c r="N25" s="22"/>
      <c r="O25" s="26"/>
      <c r="P25" s="27" t="str">
        <f aca="false">IF(OR(B25="",O25="",G25="Lost"),"",O25-Settings!$C$6)</f>
        <v/>
      </c>
      <c r="Q25" s="21" t="str">
        <f aca="false">IF(P25="","",IF(P25&lt;0,"Overdue",IF(P25&lt;=7,"Due this week","Upcoming")))</f>
        <v/>
      </c>
      <c r="R25" s="26"/>
      <c r="S25" s="28" t="str">
        <f aca="false">IF(AND(G25="7 · Past client",R25&lt;&gt;""),R25+90,"")</f>
        <v/>
      </c>
      <c r="T25" s="22"/>
      <c r="U25" s="29" t="n">
        <f aca="false">IF(P25="",0,1)</f>
        <v>0</v>
      </c>
      <c r="V25" s="29" t="str">
        <f aca="false">IF(U25=0,"",COUNTIFS($U$5:$U$154,1,$O$5:$O$154,"&lt;"&amp;O25)+COUNTIFS($U$5:$U25,1,$O$5:$O25,O25))</f>
        <v/>
      </c>
    </row>
    <row r="26" customFormat="false" ht="15" hidden="false" customHeight="false" outlineLevel="0" collapsed="false">
      <c r="A26" s="21" t="str">
        <f aca="false">IF(B26="","","C"&amp;TEXT(ROW()-4,"000"))</f>
        <v/>
      </c>
      <c r="B26" s="22"/>
      <c r="C26" s="22"/>
      <c r="D26" s="22"/>
      <c r="E26" s="22"/>
      <c r="F26" s="22"/>
      <c r="G26" s="22"/>
      <c r="H26" s="23"/>
      <c r="I26" s="24" t="str">
        <f aca="false">IF(OR(B26="",G26=""),"",INDEX(Settings!$F$14:$F$21,MATCH(G26,Settings!$E$14:$E$21,0)))</f>
        <v/>
      </c>
      <c r="J26" s="25" t="str">
        <f aca="false">IF(OR(I26="",H26=""),"",H26*I26)</f>
        <v/>
      </c>
      <c r="K26" s="21" t="str">
        <f aca="false">IF(OR(B26="",G26=""),"",INDEX(Settings!$G$14:$G$21,MATCH(G26,Settings!$E$14:$E$21,0)))</f>
        <v/>
      </c>
      <c r="L26" s="26"/>
      <c r="M26" s="26"/>
      <c r="N26" s="22"/>
      <c r="O26" s="26"/>
      <c r="P26" s="27" t="str">
        <f aca="false">IF(OR(B26="",O26="",G26="Lost"),"",O26-Settings!$C$6)</f>
        <v/>
      </c>
      <c r="Q26" s="21" t="str">
        <f aca="false">IF(P26="","",IF(P26&lt;0,"Overdue",IF(P26&lt;=7,"Due this week","Upcoming")))</f>
        <v/>
      </c>
      <c r="R26" s="26"/>
      <c r="S26" s="28" t="str">
        <f aca="false">IF(AND(G26="7 · Past client",R26&lt;&gt;""),R26+90,"")</f>
        <v/>
      </c>
      <c r="T26" s="22"/>
      <c r="U26" s="29" t="n">
        <f aca="false">IF(P26="",0,1)</f>
        <v>0</v>
      </c>
      <c r="V26" s="29" t="str">
        <f aca="false">IF(U26=0,"",COUNTIFS($U$5:$U$154,1,$O$5:$O$154,"&lt;"&amp;O26)+COUNTIFS($U$5:$U26,1,$O$5:$O26,O26))</f>
        <v/>
      </c>
    </row>
    <row r="27" customFormat="false" ht="15" hidden="false" customHeight="false" outlineLevel="0" collapsed="false">
      <c r="A27" s="21" t="str">
        <f aca="false">IF(B27="","","C"&amp;TEXT(ROW()-4,"000"))</f>
        <v/>
      </c>
      <c r="B27" s="22"/>
      <c r="C27" s="22"/>
      <c r="D27" s="22"/>
      <c r="E27" s="22"/>
      <c r="F27" s="22"/>
      <c r="G27" s="22"/>
      <c r="H27" s="23"/>
      <c r="I27" s="24" t="str">
        <f aca="false">IF(OR(B27="",G27=""),"",INDEX(Settings!$F$14:$F$21,MATCH(G27,Settings!$E$14:$E$21,0)))</f>
        <v/>
      </c>
      <c r="J27" s="25" t="str">
        <f aca="false">IF(OR(I27="",H27=""),"",H27*I27)</f>
        <v/>
      </c>
      <c r="K27" s="21" t="str">
        <f aca="false">IF(OR(B27="",G27=""),"",INDEX(Settings!$G$14:$G$21,MATCH(G27,Settings!$E$14:$E$21,0)))</f>
        <v/>
      </c>
      <c r="L27" s="26"/>
      <c r="M27" s="26"/>
      <c r="N27" s="22"/>
      <c r="O27" s="26"/>
      <c r="P27" s="27" t="str">
        <f aca="false">IF(OR(B27="",O27="",G27="Lost"),"",O27-Settings!$C$6)</f>
        <v/>
      </c>
      <c r="Q27" s="21" t="str">
        <f aca="false">IF(P27="","",IF(P27&lt;0,"Overdue",IF(P27&lt;=7,"Due this week","Upcoming")))</f>
        <v/>
      </c>
      <c r="R27" s="26"/>
      <c r="S27" s="28" t="str">
        <f aca="false">IF(AND(G27="7 · Past client",R27&lt;&gt;""),R27+90,"")</f>
        <v/>
      </c>
      <c r="T27" s="22"/>
      <c r="U27" s="29" t="n">
        <f aca="false">IF(P27="",0,1)</f>
        <v>0</v>
      </c>
      <c r="V27" s="29" t="str">
        <f aca="false">IF(U27=0,"",COUNTIFS($U$5:$U$154,1,$O$5:$O$154,"&lt;"&amp;O27)+COUNTIFS($U$5:$U27,1,$O$5:$O27,O27))</f>
        <v/>
      </c>
    </row>
    <row r="28" customFormat="false" ht="15" hidden="false" customHeight="false" outlineLevel="0" collapsed="false">
      <c r="A28" s="21" t="str">
        <f aca="false">IF(B28="","","C"&amp;TEXT(ROW()-4,"000"))</f>
        <v/>
      </c>
      <c r="B28" s="22"/>
      <c r="C28" s="22"/>
      <c r="D28" s="22"/>
      <c r="E28" s="22"/>
      <c r="F28" s="22"/>
      <c r="G28" s="22"/>
      <c r="H28" s="23"/>
      <c r="I28" s="24" t="str">
        <f aca="false">IF(OR(B28="",G28=""),"",INDEX(Settings!$F$14:$F$21,MATCH(G28,Settings!$E$14:$E$21,0)))</f>
        <v/>
      </c>
      <c r="J28" s="25" t="str">
        <f aca="false">IF(OR(I28="",H28=""),"",H28*I28)</f>
        <v/>
      </c>
      <c r="K28" s="21" t="str">
        <f aca="false">IF(OR(B28="",G28=""),"",INDEX(Settings!$G$14:$G$21,MATCH(G28,Settings!$E$14:$E$21,0)))</f>
        <v/>
      </c>
      <c r="L28" s="26"/>
      <c r="M28" s="26"/>
      <c r="N28" s="22"/>
      <c r="O28" s="26"/>
      <c r="P28" s="27" t="str">
        <f aca="false">IF(OR(B28="",O28="",G28="Lost"),"",O28-Settings!$C$6)</f>
        <v/>
      </c>
      <c r="Q28" s="21" t="str">
        <f aca="false">IF(P28="","",IF(P28&lt;0,"Overdue",IF(P28&lt;=7,"Due this week","Upcoming")))</f>
        <v/>
      </c>
      <c r="R28" s="26"/>
      <c r="S28" s="28" t="str">
        <f aca="false">IF(AND(G28="7 · Past client",R28&lt;&gt;""),R28+90,"")</f>
        <v/>
      </c>
      <c r="T28" s="22"/>
      <c r="U28" s="29" t="n">
        <f aca="false">IF(P28="",0,1)</f>
        <v>0</v>
      </c>
      <c r="V28" s="29" t="str">
        <f aca="false">IF(U28=0,"",COUNTIFS($U$5:$U$154,1,$O$5:$O$154,"&lt;"&amp;O28)+COUNTIFS($U$5:$U28,1,$O$5:$O28,O28))</f>
        <v/>
      </c>
    </row>
    <row r="29" customFormat="false" ht="15" hidden="false" customHeight="false" outlineLevel="0" collapsed="false">
      <c r="A29" s="21" t="str">
        <f aca="false">IF(B29="","","C"&amp;TEXT(ROW()-4,"000"))</f>
        <v/>
      </c>
      <c r="B29" s="22"/>
      <c r="C29" s="22"/>
      <c r="D29" s="22"/>
      <c r="E29" s="22"/>
      <c r="F29" s="22"/>
      <c r="G29" s="22"/>
      <c r="H29" s="23"/>
      <c r="I29" s="24" t="str">
        <f aca="false">IF(OR(B29="",G29=""),"",INDEX(Settings!$F$14:$F$21,MATCH(G29,Settings!$E$14:$E$21,0)))</f>
        <v/>
      </c>
      <c r="J29" s="25" t="str">
        <f aca="false">IF(OR(I29="",H29=""),"",H29*I29)</f>
        <v/>
      </c>
      <c r="K29" s="21" t="str">
        <f aca="false">IF(OR(B29="",G29=""),"",INDEX(Settings!$G$14:$G$21,MATCH(G29,Settings!$E$14:$E$21,0)))</f>
        <v/>
      </c>
      <c r="L29" s="26"/>
      <c r="M29" s="26"/>
      <c r="N29" s="22"/>
      <c r="O29" s="26"/>
      <c r="P29" s="27" t="str">
        <f aca="false">IF(OR(B29="",O29="",G29="Lost"),"",O29-Settings!$C$6)</f>
        <v/>
      </c>
      <c r="Q29" s="21" t="str">
        <f aca="false">IF(P29="","",IF(P29&lt;0,"Overdue",IF(P29&lt;=7,"Due this week","Upcoming")))</f>
        <v/>
      </c>
      <c r="R29" s="26"/>
      <c r="S29" s="28" t="str">
        <f aca="false">IF(AND(G29="7 · Past client",R29&lt;&gt;""),R29+90,"")</f>
        <v/>
      </c>
      <c r="T29" s="22"/>
      <c r="U29" s="29" t="n">
        <f aca="false">IF(P29="",0,1)</f>
        <v>0</v>
      </c>
      <c r="V29" s="29" t="str">
        <f aca="false">IF(U29=0,"",COUNTIFS($U$5:$U$154,1,$O$5:$O$154,"&lt;"&amp;O29)+COUNTIFS($U$5:$U29,1,$O$5:$O29,O29))</f>
        <v/>
      </c>
    </row>
    <row r="30" customFormat="false" ht="15" hidden="false" customHeight="false" outlineLevel="0" collapsed="false">
      <c r="A30" s="21" t="str">
        <f aca="false">IF(B30="","","C"&amp;TEXT(ROW()-4,"000"))</f>
        <v/>
      </c>
      <c r="B30" s="22"/>
      <c r="C30" s="22"/>
      <c r="D30" s="22"/>
      <c r="E30" s="22"/>
      <c r="F30" s="22"/>
      <c r="G30" s="22"/>
      <c r="H30" s="23"/>
      <c r="I30" s="24" t="str">
        <f aca="false">IF(OR(B30="",G30=""),"",INDEX(Settings!$F$14:$F$21,MATCH(G30,Settings!$E$14:$E$21,0)))</f>
        <v/>
      </c>
      <c r="J30" s="25" t="str">
        <f aca="false">IF(OR(I30="",H30=""),"",H30*I30)</f>
        <v/>
      </c>
      <c r="K30" s="21" t="str">
        <f aca="false">IF(OR(B30="",G30=""),"",INDEX(Settings!$G$14:$G$21,MATCH(G30,Settings!$E$14:$E$21,0)))</f>
        <v/>
      </c>
      <c r="L30" s="26"/>
      <c r="M30" s="26"/>
      <c r="N30" s="22"/>
      <c r="O30" s="26"/>
      <c r="P30" s="27" t="str">
        <f aca="false">IF(OR(B30="",O30="",G30="Lost"),"",O30-Settings!$C$6)</f>
        <v/>
      </c>
      <c r="Q30" s="21" t="str">
        <f aca="false">IF(P30="","",IF(P30&lt;0,"Overdue",IF(P30&lt;=7,"Due this week","Upcoming")))</f>
        <v/>
      </c>
      <c r="R30" s="26"/>
      <c r="S30" s="28" t="str">
        <f aca="false">IF(AND(G30="7 · Past client",R30&lt;&gt;""),R30+90,"")</f>
        <v/>
      </c>
      <c r="T30" s="22"/>
      <c r="U30" s="29" t="n">
        <f aca="false">IF(P30="",0,1)</f>
        <v>0</v>
      </c>
      <c r="V30" s="29" t="str">
        <f aca="false">IF(U30=0,"",COUNTIFS($U$5:$U$154,1,$O$5:$O$154,"&lt;"&amp;O30)+COUNTIFS($U$5:$U30,1,$O$5:$O30,O30))</f>
        <v/>
      </c>
    </row>
    <row r="31" customFormat="false" ht="15" hidden="false" customHeight="false" outlineLevel="0" collapsed="false">
      <c r="A31" s="21" t="str">
        <f aca="false">IF(B31="","","C"&amp;TEXT(ROW()-4,"000"))</f>
        <v/>
      </c>
      <c r="B31" s="22"/>
      <c r="C31" s="22"/>
      <c r="D31" s="22"/>
      <c r="E31" s="22"/>
      <c r="F31" s="22"/>
      <c r="G31" s="22"/>
      <c r="H31" s="23"/>
      <c r="I31" s="24" t="str">
        <f aca="false">IF(OR(B31="",G31=""),"",INDEX(Settings!$F$14:$F$21,MATCH(G31,Settings!$E$14:$E$21,0)))</f>
        <v/>
      </c>
      <c r="J31" s="25" t="str">
        <f aca="false">IF(OR(I31="",H31=""),"",H31*I31)</f>
        <v/>
      </c>
      <c r="K31" s="21" t="str">
        <f aca="false">IF(OR(B31="",G31=""),"",INDEX(Settings!$G$14:$G$21,MATCH(G31,Settings!$E$14:$E$21,0)))</f>
        <v/>
      </c>
      <c r="L31" s="26"/>
      <c r="M31" s="26"/>
      <c r="N31" s="22"/>
      <c r="O31" s="26"/>
      <c r="P31" s="27" t="str">
        <f aca="false">IF(OR(B31="",O31="",G31="Lost"),"",O31-Settings!$C$6)</f>
        <v/>
      </c>
      <c r="Q31" s="21" t="str">
        <f aca="false">IF(P31="","",IF(P31&lt;0,"Overdue",IF(P31&lt;=7,"Due this week","Upcoming")))</f>
        <v/>
      </c>
      <c r="R31" s="26"/>
      <c r="S31" s="28" t="str">
        <f aca="false">IF(AND(G31="7 · Past client",R31&lt;&gt;""),R31+90,"")</f>
        <v/>
      </c>
      <c r="T31" s="22"/>
      <c r="U31" s="29" t="n">
        <f aca="false">IF(P31="",0,1)</f>
        <v>0</v>
      </c>
      <c r="V31" s="29" t="str">
        <f aca="false">IF(U31=0,"",COUNTIFS($U$5:$U$154,1,$O$5:$O$154,"&lt;"&amp;O31)+COUNTIFS($U$5:$U31,1,$O$5:$O31,O31))</f>
        <v/>
      </c>
    </row>
    <row r="32" customFormat="false" ht="15" hidden="false" customHeight="false" outlineLevel="0" collapsed="false">
      <c r="A32" s="21" t="str">
        <f aca="false">IF(B32="","","C"&amp;TEXT(ROW()-4,"000"))</f>
        <v/>
      </c>
      <c r="B32" s="22"/>
      <c r="C32" s="22"/>
      <c r="D32" s="22"/>
      <c r="E32" s="22"/>
      <c r="F32" s="22"/>
      <c r="G32" s="22"/>
      <c r="H32" s="23"/>
      <c r="I32" s="24" t="str">
        <f aca="false">IF(OR(B32="",G32=""),"",INDEX(Settings!$F$14:$F$21,MATCH(G32,Settings!$E$14:$E$21,0)))</f>
        <v/>
      </c>
      <c r="J32" s="25" t="str">
        <f aca="false">IF(OR(I32="",H32=""),"",H32*I32)</f>
        <v/>
      </c>
      <c r="K32" s="21" t="str">
        <f aca="false">IF(OR(B32="",G32=""),"",INDEX(Settings!$G$14:$G$21,MATCH(G32,Settings!$E$14:$E$21,0)))</f>
        <v/>
      </c>
      <c r="L32" s="26"/>
      <c r="M32" s="26"/>
      <c r="N32" s="22"/>
      <c r="O32" s="26"/>
      <c r="P32" s="27" t="str">
        <f aca="false">IF(OR(B32="",O32="",G32="Lost"),"",O32-Settings!$C$6)</f>
        <v/>
      </c>
      <c r="Q32" s="21" t="str">
        <f aca="false">IF(P32="","",IF(P32&lt;0,"Overdue",IF(P32&lt;=7,"Due this week","Upcoming")))</f>
        <v/>
      </c>
      <c r="R32" s="26"/>
      <c r="S32" s="28" t="str">
        <f aca="false">IF(AND(G32="7 · Past client",R32&lt;&gt;""),R32+90,"")</f>
        <v/>
      </c>
      <c r="T32" s="22"/>
      <c r="U32" s="29" t="n">
        <f aca="false">IF(P32="",0,1)</f>
        <v>0</v>
      </c>
      <c r="V32" s="29" t="str">
        <f aca="false">IF(U32=0,"",COUNTIFS($U$5:$U$154,1,$O$5:$O$154,"&lt;"&amp;O32)+COUNTIFS($U$5:$U32,1,$O$5:$O32,O32))</f>
        <v/>
      </c>
    </row>
    <row r="33" customFormat="false" ht="15" hidden="false" customHeight="false" outlineLevel="0" collapsed="false">
      <c r="A33" s="21" t="str">
        <f aca="false">IF(B33="","","C"&amp;TEXT(ROW()-4,"000"))</f>
        <v/>
      </c>
      <c r="B33" s="22"/>
      <c r="C33" s="22"/>
      <c r="D33" s="22"/>
      <c r="E33" s="22"/>
      <c r="F33" s="22"/>
      <c r="G33" s="22"/>
      <c r="H33" s="23"/>
      <c r="I33" s="24" t="str">
        <f aca="false">IF(OR(B33="",G33=""),"",INDEX(Settings!$F$14:$F$21,MATCH(G33,Settings!$E$14:$E$21,0)))</f>
        <v/>
      </c>
      <c r="J33" s="25" t="str">
        <f aca="false">IF(OR(I33="",H33=""),"",H33*I33)</f>
        <v/>
      </c>
      <c r="K33" s="21" t="str">
        <f aca="false">IF(OR(B33="",G33=""),"",INDEX(Settings!$G$14:$G$21,MATCH(G33,Settings!$E$14:$E$21,0)))</f>
        <v/>
      </c>
      <c r="L33" s="26"/>
      <c r="M33" s="26"/>
      <c r="N33" s="22"/>
      <c r="O33" s="26"/>
      <c r="P33" s="27" t="str">
        <f aca="false">IF(OR(B33="",O33="",G33="Lost"),"",O33-Settings!$C$6)</f>
        <v/>
      </c>
      <c r="Q33" s="21" t="str">
        <f aca="false">IF(P33="","",IF(P33&lt;0,"Overdue",IF(P33&lt;=7,"Due this week","Upcoming")))</f>
        <v/>
      </c>
      <c r="R33" s="26"/>
      <c r="S33" s="28" t="str">
        <f aca="false">IF(AND(G33="7 · Past client",R33&lt;&gt;""),R33+90,"")</f>
        <v/>
      </c>
      <c r="T33" s="22"/>
      <c r="U33" s="29" t="n">
        <f aca="false">IF(P33="",0,1)</f>
        <v>0</v>
      </c>
      <c r="V33" s="29" t="str">
        <f aca="false">IF(U33=0,"",COUNTIFS($U$5:$U$154,1,$O$5:$O$154,"&lt;"&amp;O33)+COUNTIFS($U$5:$U33,1,$O$5:$O33,O33))</f>
        <v/>
      </c>
    </row>
    <row r="34" customFormat="false" ht="15" hidden="false" customHeight="false" outlineLevel="0" collapsed="false">
      <c r="A34" s="21" t="str">
        <f aca="false">IF(B34="","","C"&amp;TEXT(ROW()-4,"000"))</f>
        <v/>
      </c>
      <c r="B34" s="22"/>
      <c r="C34" s="22"/>
      <c r="D34" s="22"/>
      <c r="E34" s="22"/>
      <c r="F34" s="22"/>
      <c r="G34" s="22"/>
      <c r="H34" s="23"/>
      <c r="I34" s="24" t="str">
        <f aca="false">IF(OR(B34="",G34=""),"",INDEX(Settings!$F$14:$F$21,MATCH(G34,Settings!$E$14:$E$21,0)))</f>
        <v/>
      </c>
      <c r="J34" s="25" t="str">
        <f aca="false">IF(OR(I34="",H34=""),"",H34*I34)</f>
        <v/>
      </c>
      <c r="K34" s="21" t="str">
        <f aca="false">IF(OR(B34="",G34=""),"",INDEX(Settings!$G$14:$G$21,MATCH(G34,Settings!$E$14:$E$21,0)))</f>
        <v/>
      </c>
      <c r="L34" s="26"/>
      <c r="M34" s="26"/>
      <c r="N34" s="22"/>
      <c r="O34" s="26"/>
      <c r="P34" s="27" t="str">
        <f aca="false">IF(OR(B34="",O34="",G34="Lost"),"",O34-Settings!$C$6)</f>
        <v/>
      </c>
      <c r="Q34" s="21" t="str">
        <f aca="false">IF(P34="","",IF(P34&lt;0,"Overdue",IF(P34&lt;=7,"Due this week","Upcoming")))</f>
        <v/>
      </c>
      <c r="R34" s="26"/>
      <c r="S34" s="28" t="str">
        <f aca="false">IF(AND(G34="7 · Past client",R34&lt;&gt;""),R34+90,"")</f>
        <v/>
      </c>
      <c r="T34" s="22"/>
      <c r="U34" s="29" t="n">
        <f aca="false">IF(P34="",0,1)</f>
        <v>0</v>
      </c>
      <c r="V34" s="29" t="str">
        <f aca="false">IF(U34=0,"",COUNTIFS($U$5:$U$154,1,$O$5:$O$154,"&lt;"&amp;O34)+COUNTIFS($U$5:$U34,1,$O$5:$O34,O34))</f>
        <v/>
      </c>
    </row>
    <row r="35" customFormat="false" ht="15" hidden="false" customHeight="false" outlineLevel="0" collapsed="false">
      <c r="A35" s="21" t="str">
        <f aca="false">IF(B35="","","C"&amp;TEXT(ROW()-4,"000"))</f>
        <v/>
      </c>
      <c r="B35" s="22"/>
      <c r="C35" s="22"/>
      <c r="D35" s="22"/>
      <c r="E35" s="22"/>
      <c r="F35" s="22"/>
      <c r="G35" s="22"/>
      <c r="H35" s="23"/>
      <c r="I35" s="24" t="str">
        <f aca="false">IF(OR(B35="",G35=""),"",INDEX(Settings!$F$14:$F$21,MATCH(G35,Settings!$E$14:$E$21,0)))</f>
        <v/>
      </c>
      <c r="J35" s="25" t="str">
        <f aca="false">IF(OR(I35="",H35=""),"",H35*I35)</f>
        <v/>
      </c>
      <c r="K35" s="21" t="str">
        <f aca="false">IF(OR(B35="",G35=""),"",INDEX(Settings!$G$14:$G$21,MATCH(G35,Settings!$E$14:$E$21,0)))</f>
        <v/>
      </c>
      <c r="L35" s="26"/>
      <c r="M35" s="26"/>
      <c r="N35" s="22"/>
      <c r="O35" s="26"/>
      <c r="P35" s="27" t="str">
        <f aca="false">IF(OR(B35="",O35="",G35="Lost"),"",O35-Settings!$C$6)</f>
        <v/>
      </c>
      <c r="Q35" s="21" t="str">
        <f aca="false">IF(P35="","",IF(P35&lt;0,"Overdue",IF(P35&lt;=7,"Due this week","Upcoming")))</f>
        <v/>
      </c>
      <c r="R35" s="26"/>
      <c r="S35" s="28" t="str">
        <f aca="false">IF(AND(G35="7 · Past client",R35&lt;&gt;""),R35+90,"")</f>
        <v/>
      </c>
      <c r="T35" s="22"/>
      <c r="U35" s="29" t="n">
        <f aca="false">IF(P35="",0,1)</f>
        <v>0</v>
      </c>
      <c r="V35" s="29" t="str">
        <f aca="false">IF(U35=0,"",COUNTIFS($U$5:$U$154,1,$O$5:$O$154,"&lt;"&amp;O35)+COUNTIFS($U$5:$U35,1,$O$5:$O35,O35))</f>
        <v/>
      </c>
    </row>
    <row r="36" customFormat="false" ht="15" hidden="false" customHeight="false" outlineLevel="0" collapsed="false">
      <c r="A36" s="21" t="str">
        <f aca="false">IF(B36="","","C"&amp;TEXT(ROW()-4,"000"))</f>
        <v/>
      </c>
      <c r="B36" s="22"/>
      <c r="C36" s="22"/>
      <c r="D36" s="22"/>
      <c r="E36" s="22"/>
      <c r="F36" s="22"/>
      <c r="G36" s="22"/>
      <c r="H36" s="23"/>
      <c r="I36" s="24" t="str">
        <f aca="false">IF(OR(B36="",G36=""),"",INDEX(Settings!$F$14:$F$21,MATCH(G36,Settings!$E$14:$E$21,0)))</f>
        <v/>
      </c>
      <c r="J36" s="25" t="str">
        <f aca="false">IF(OR(I36="",H36=""),"",H36*I36)</f>
        <v/>
      </c>
      <c r="K36" s="21" t="str">
        <f aca="false">IF(OR(B36="",G36=""),"",INDEX(Settings!$G$14:$G$21,MATCH(G36,Settings!$E$14:$E$21,0)))</f>
        <v/>
      </c>
      <c r="L36" s="26"/>
      <c r="M36" s="26"/>
      <c r="N36" s="22"/>
      <c r="O36" s="26"/>
      <c r="P36" s="27" t="str">
        <f aca="false">IF(OR(B36="",O36="",G36="Lost"),"",O36-Settings!$C$6)</f>
        <v/>
      </c>
      <c r="Q36" s="21" t="str">
        <f aca="false">IF(P36="","",IF(P36&lt;0,"Overdue",IF(P36&lt;=7,"Due this week","Upcoming")))</f>
        <v/>
      </c>
      <c r="R36" s="26"/>
      <c r="S36" s="28" t="str">
        <f aca="false">IF(AND(G36="7 · Past client",R36&lt;&gt;""),R36+90,"")</f>
        <v/>
      </c>
      <c r="T36" s="22"/>
      <c r="U36" s="29" t="n">
        <f aca="false">IF(P36="",0,1)</f>
        <v>0</v>
      </c>
      <c r="V36" s="29" t="str">
        <f aca="false">IF(U36=0,"",COUNTIFS($U$5:$U$154,1,$O$5:$O$154,"&lt;"&amp;O36)+COUNTIFS($U$5:$U36,1,$O$5:$O36,O36))</f>
        <v/>
      </c>
    </row>
    <row r="37" customFormat="false" ht="15" hidden="false" customHeight="false" outlineLevel="0" collapsed="false">
      <c r="A37" s="21" t="str">
        <f aca="false">IF(B37="","","C"&amp;TEXT(ROW()-4,"000"))</f>
        <v/>
      </c>
      <c r="B37" s="22"/>
      <c r="C37" s="22"/>
      <c r="D37" s="22"/>
      <c r="E37" s="22"/>
      <c r="F37" s="22"/>
      <c r="G37" s="22"/>
      <c r="H37" s="23"/>
      <c r="I37" s="24" t="str">
        <f aca="false">IF(OR(B37="",G37=""),"",INDEX(Settings!$F$14:$F$21,MATCH(G37,Settings!$E$14:$E$21,0)))</f>
        <v/>
      </c>
      <c r="J37" s="25" t="str">
        <f aca="false">IF(OR(I37="",H37=""),"",H37*I37)</f>
        <v/>
      </c>
      <c r="K37" s="21" t="str">
        <f aca="false">IF(OR(B37="",G37=""),"",INDEX(Settings!$G$14:$G$21,MATCH(G37,Settings!$E$14:$E$21,0)))</f>
        <v/>
      </c>
      <c r="L37" s="26"/>
      <c r="M37" s="26"/>
      <c r="N37" s="22"/>
      <c r="O37" s="26"/>
      <c r="P37" s="27" t="str">
        <f aca="false">IF(OR(B37="",O37="",G37="Lost"),"",O37-Settings!$C$6)</f>
        <v/>
      </c>
      <c r="Q37" s="21" t="str">
        <f aca="false">IF(P37="","",IF(P37&lt;0,"Overdue",IF(P37&lt;=7,"Due this week","Upcoming")))</f>
        <v/>
      </c>
      <c r="R37" s="26"/>
      <c r="S37" s="28" t="str">
        <f aca="false">IF(AND(G37="7 · Past client",R37&lt;&gt;""),R37+90,"")</f>
        <v/>
      </c>
      <c r="T37" s="22"/>
      <c r="U37" s="29" t="n">
        <f aca="false">IF(P37="",0,1)</f>
        <v>0</v>
      </c>
      <c r="V37" s="29" t="str">
        <f aca="false">IF(U37=0,"",COUNTIFS($U$5:$U$154,1,$O$5:$O$154,"&lt;"&amp;O37)+COUNTIFS($U$5:$U37,1,$O$5:$O37,O37))</f>
        <v/>
      </c>
    </row>
    <row r="38" customFormat="false" ht="15" hidden="false" customHeight="false" outlineLevel="0" collapsed="false">
      <c r="A38" s="21" t="str">
        <f aca="false">IF(B38="","","C"&amp;TEXT(ROW()-4,"000"))</f>
        <v/>
      </c>
      <c r="B38" s="22"/>
      <c r="C38" s="22"/>
      <c r="D38" s="22"/>
      <c r="E38" s="22"/>
      <c r="F38" s="22"/>
      <c r="G38" s="22"/>
      <c r="H38" s="23"/>
      <c r="I38" s="24" t="str">
        <f aca="false">IF(OR(B38="",G38=""),"",INDEX(Settings!$F$14:$F$21,MATCH(G38,Settings!$E$14:$E$21,0)))</f>
        <v/>
      </c>
      <c r="J38" s="25" t="str">
        <f aca="false">IF(OR(I38="",H38=""),"",H38*I38)</f>
        <v/>
      </c>
      <c r="K38" s="21" t="str">
        <f aca="false">IF(OR(B38="",G38=""),"",INDEX(Settings!$G$14:$G$21,MATCH(G38,Settings!$E$14:$E$21,0)))</f>
        <v/>
      </c>
      <c r="L38" s="26"/>
      <c r="M38" s="26"/>
      <c r="N38" s="22"/>
      <c r="O38" s="26"/>
      <c r="P38" s="27" t="str">
        <f aca="false">IF(OR(B38="",O38="",G38="Lost"),"",O38-Settings!$C$6)</f>
        <v/>
      </c>
      <c r="Q38" s="21" t="str">
        <f aca="false">IF(P38="","",IF(P38&lt;0,"Overdue",IF(P38&lt;=7,"Due this week","Upcoming")))</f>
        <v/>
      </c>
      <c r="R38" s="26"/>
      <c r="S38" s="28" t="str">
        <f aca="false">IF(AND(G38="7 · Past client",R38&lt;&gt;""),R38+90,"")</f>
        <v/>
      </c>
      <c r="T38" s="22"/>
      <c r="U38" s="29" t="n">
        <f aca="false">IF(P38="",0,1)</f>
        <v>0</v>
      </c>
      <c r="V38" s="29" t="str">
        <f aca="false">IF(U38=0,"",COUNTIFS($U$5:$U$154,1,$O$5:$O$154,"&lt;"&amp;O38)+COUNTIFS($U$5:$U38,1,$O$5:$O38,O38))</f>
        <v/>
      </c>
    </row>
    <row r="39" customFormat="false" ht="15" hidden="false" customHeight="false" outlineLevel="0" collapsed="false">
      <c r="A39" s="21" t="str">
        <f aca="false">IF(B39="","","C"&amp;TEXT(ROW()-4,"000"))</f>
        <v/>
      </c>
      <c r="B39" s="22"/>
      <c r="C39" s="22"/>
      <c r="D39" s="22"/>
      <c r="E39" s="22"/>
      <c r="F39" s="22"/>
      <c r="G39" s="22"/>
      <c r="H39" s="23"/>
      <c r="I39" s="24" t="str">
        <f aca="false">IF(OR(B39="",G39=""),"",INDEX(Settings!$F$14:$F$21,MATCH(G39,Settings!$E$14:$E$21,0)))</f>
        <v/>
      </c>
      <c r="J39" s="25" t="str">
        <f aca="false">IF(OR(I39="",H39=""),"",H39*I39)</f>
        <v/>
      </c>
      <c r="K39" s="21" t="str">
        <f aca="false">IF(OR(B39="",G39=""),"",INDEX(Settings!$G$14:$G$21,MATCH(G39,Settings!$E$14:$E$21,0)))</f>
        <v/>
      </c>
      <c r="L39" s="26"/>
      <c r="M39" s="26"/>
      <c r="N39" s="22"/>
      <c r="O39" s="26"/>
      <c r="P39" s="27" t="str">
        <f aca="false">IF(OR(B39="",O39="",G39="Lost"),"",O39-Settings!$C$6)</f>
        <v/>
      </c>
      <c r="Q39" s="21" t="str">
        <f aca="false">IF(P39="","",IF(P39&lt;0,"Overdue",IF(P39&lt;=7,"Due this week","Upcoming")))</f>
        <v/>
      </c>
      <c r="R39" s="26"/>
      <c r="S39" s="28" t="str">
        <f aca="false">IF(AND(G39="7 · Past client",R39&lt;&gt;""),R39+90,"")</f>
        <v/>
      </c>
      <c r="T39" s="22"/>
      <c r="U39" s="29" t="n">
        <f aca="false">IF(P39="",0,1)</f>
        <v>0</v>
      </c>
      <c r="V39" s="29" t="str">
        <f aca="false">IF(U39=0,"",COUNTIFS($U$5:$U$154,1,$O$5:$O$154,"&lt;"&amp;O39)+COUNTIFS($U$5:$U39,1,$O$5:$O39,O39))</f>
        <v/>
      </c>
    </row>
    <row r="40" customFormat="false" ht="15" hidden="false" customHeight="false" outlineLevel="0" collapsed="false">
      <c r="A40" s="21" t="str">
        <f aca="false">IF(B40="","","C"&amp;TEXT(ROW()-4,"000"))</f>
        <v/>
      </c>
      <c r="B40" s="22"/>
      <c r="C40" s="22"/>
      <c r="D40" s="22"/>
      <c r="E40" s="22"/>
      <c r="F40" s="22"/>
      <c r="G40" s="22"/>
      <c r="H40" s="23"/>
      <c r="I40" s="24" t="str">
        <f aca="false">IF(OR(B40="",G40=""),"",INDEX(Settings!$F$14:$F$21,MATCH(G40,Settings!$E$14:$E$21,0)))</f>
        <v/>
      </c>
      <c r="J40" s="25" t="str">
        <f aca="false">IF(OR(I40="",H40=""),"",H40*I40)</f>
        <v/>
      </c>
      <c r="K40" s="21" t="str">
        <f aca="false">IF(OR(B40="",G40=""),"",INDEX(Settings!$G$14:$G$21,MATCH(G40,Settings!$E$14:$E$21,0)))</f>
        <v/>
      </c>
      <c r="L40" s="26"/>
      <c r="M40" s="26"/>
      <c r="N40" s="22"/>
      <c r="O40" s="26"/>
      <c r="P40" s="27" t="str">
        <f aca="false">IF(OR(B40="",O40="",G40="Lost"),"",O40-Settings!$C$6)</f>
        <v/>
      </c>
      <c r="Q40" s="21" t="str">
        <f aca="false">IF(P40="","",IF(P40&lt;0,"Overdue",IF(P40&lt;=7,"Due this week","Upcoming")))</f>
        <v/>
      </c>
      <c r="R40" s="26"/>
      <c r="S40" s="28" t="str">
        <f aca="false">IF(AND(G40="7 · Past client",R40&lt;&gt;""),R40+90,"")</f>
        <v/>
      </c>
      <c r="T40" s="22"/>
      <c r="U40" s="29" t="n">
        <f aca="false">IF(P40="",0,1)</f>
        <v>0</v>
      </c>
      <c r="V40" s="29" t="str">
        <f aca="false">IF(U40=0,"",COUNTIFS($U$5:$U$154,1,$O$5:$O$154,"&lt;"&amp;O40)+COUNTIFS($U$5:$U40,1,$O$5:$O40,O40))</f>
        <v/>
      </c>
    </row>
    <row r="41" customFormat="false" ht="15" hidden="false" customHeight="false" outlineLevel="0" collapsed="false">
      <c r="A41" s="21" t="str">
        <f aca="false">IF(B41="","","C"&amp;TEXT(ROW()-4,"000"))</f>
        <v/>
      </c>
      <c r="B41" s="22"/>
      <c r="C41" s="22"/>
      <c r="D41" s="22"/>
      <c r="E41" s="22"/>
      <c r="F41" s="22"/>
      <c r="G41" s="22"/>
      <c r="H41" s="23"/>
      <c r="I41" s="24" t="str">
        <f aca="false">IF(OR(B41="",G41=""),"",INDEX(Settings!$F$14:$F$21,MATCH(G41,Settings!$E$14:$E$21,0)))</f>
        <v/>
      </c>
      <c r="J41" s="25" t="str">
        <f aca="false">IF(OR(I41="",H41=""),"",H41*I41)</f>
        <v/>
      </c>
      <c r="K41" s="21" t="str">
        <f aca="false">IF(OR(B41="",G41=""),"",INDEX(Settings!$G$14:$G$21,MATCH(G41,Settings!$E$14:$E$21,0)))</f>
        <v/>
      </c>
      <c r="L41" s="26"/>
      <c r="M41" s="26"/>
      <c r="N41" s="22"/>
      <c r="O41" s="26"/>
      <c r="P41" s="27" t="str">
        <f aca="false">IF(OR(B41="",O41="",G41="Lost"),"",O41-Settings!$C$6)</f>
        <v/>
      </c>
      <c r="Q41" s="21" t="str">
        <f aca="false">IF(P41="","",IF(P41&lt;0,"Overdue",IF(P41&lt;=7,"Due this week","Upcoming")))</f>
        <v/>
      </c>
      <c r="R41" s="26"/>
      <c r="S41" s="28" t="str">
        <f aca="false">IF(AND(G41="7 · Past client",R41&lt;&gt;""),R41+90,"")</f>
        <v/>
      </c>
      <c r="T41" s="22"/>
      <c r="U41" s="29" t="n">
        <f aca="false">IF(P41="",0,1)</f>
        <v>0</v>
      </c>
      <c r="V41" s="29" t="str">
        <f aca="false">IF(U41=0,"",COUNTIFS($U$5:$U$154,1,$O$5:$O$154,"&lt;"&amp;O41)+COUNTIFS($U$5:$U41,1,$O$5:$O41,O41))</f>
        <v/>
      </c>
    </row>
    <row r="42" customFormat="false" ht="15" hidden="false" customHeight="false" outlineLevel="0" collapsed="false">
      <c r="A42" s="21" t="str">
        <f aca="false">IF(B42="","","C"&amp;TEXT(ROW()-4,"000"))</f>
        <v/>
      </c>
      <c r="B42" s="22"/>
      <c r="C42" s="22"/>
      <c r="D42" s="22"/>
      <c r="E42" s="22"/>
      <c r="F42" s="22"/>
      <c r="G42" s="22"/>
      <c r="H42" s="23"/>
      <c r="I42" s="24" t="str">
        <f aca="false">IF(OR(B42="",G42=""),"",INDEX(Settings!$F$14:$F$21,MATCH(G42,Settings!$E$14:$E$21,0)))</f>
        <v/>
      </c>
      <c r="J42" s="25" t="str">
        <f aca="false">IF(OR(I42="",H42=""),"",H42*I42)</f>
        <v/>
      </c>
      <c r="K42" s="21" t="str">
        <f aca="false">IF(OR(B42="",G42=""),"",INDEX(Settings!$G$14:$G$21,MATCH(G42,Settings!$E$14:$E$21,0)))</f>
        <v/>
      </c>
      <c r="L42" s="26"/>
      <c r="M42" s="26"/>
      <c r="N42" s="22"/>
      <c r="O42" s="26"/>
      <c r="P42" s="27" t="str">
        <f aca="false">IF(OR(B42="",O42="",G42="Lost"),"",O42-Settings!$C$6)</f>
        <v/>
      </c>
      <c r="Q42" s="21" t="str">
        <f aca="false">IF(P42="","",IF(P42&lt;0,"Overdue",IF(P42&lt;=7,"Due this week","Upcoming")))</f>
        <v/>
      </c>
      <c r="R42" s="26"/>
      <c r="S42" s="28" t="str">
        <f aca="false">IF(AND(G42="7 · Past client",R42&lt;&gt;""),R42+90,"")</f>
        <v/>
      </c>
      <c r="T42" s="22"/>
      <c r="U42" s="29" t="n">
        <f aca="false">IF(P42="",0,1)</f>
        <v>0</v>
      </c>
      <c r="V42" s="29" t="str">
        <f aca="false">IF(U42=0,"",COUNTIFS($U$5:$U$154,1,$O$5:$O$154,"&lt;"&amp;O42)+COUNTIFS($U$5:$U42,1,$O$5:$O42,O42))</f>
        <v/>
      </c>
    </row>
    <row r="43" customFormat="false" ht="15" hidden="false" customHeight="false" outlineLevel="0" collapsed="false">
      <c r="A43" s="21" t="str">
        <f aca="false">IF(B43="","","C"&amp;TEXT(ROW()-4,"000"))</f>
        <v/>
      </c>
      <c r="B43" s="22"/>
      <c r="C43" s="22"/>
      <c r="D43" s="22"/>
      <c r="E43" s="22"/>
      <c r="F43" s="22"/>
      <c r="G43" s="22"/>
      <c r="H43" s="23"/>
      <c r="I43" s="24" t="str">
        <f aca="false">IF(OR(B43="",G43=""),"",INDEX(Settings!$F$14:$F$21,MATCH(G43,Settings!$E$14:$E$21,0)))</f>
        <v/>
      </c>
      <c r="J43" s="25" t="str">
        <f aca="false">IF(OR(I43="",H43=""),"",H43*I43)</f>
        <v/>
      </c>
      <c r="K43" s="21" t="str">
        <f aca="false">IF(OR(B43="",G43=""),"",INDEX(Settings!$G$14:$G$21,MATCH(G43,Settings!$E$14:$E$21,0)))</f>
        <v/>
      </c>
      <c r="L43" s="26"/>
      <c r="M43" s="26"/>
      <c r="N43" s="22"/>
      <c r="O43" s="26"/>
      <c r="P43" s="27" t="str">
        <f aca="false">IF(OR(B43="",O43="",G43="Lost"),"",O43-Settings!$C$6)</f>
        <v/>
      </c>
      <c r="Q43" s="21" t="str">
        <f aca="false">IF(P43="","",IF(P43&lt;0,"Overdue",IF(P43&lt;=7,"Due this week","Upcoming")))</f>
        <v/>
      </c>
      <c r="R43" s="26"/>
      <c r="S43" s="28" t="str">
        <f aca="false">IF(AND(G43="7 · Past client",R43&lt;&gt;""),R43+90,"")</f>
        <v/>
      </c>
      <c r="T43" s="22"/>
      <c r="U43" s="29" t="n">
        <f aca="false">IF(P43="",0,1)</f>
        <v>0</v>
      </c>
      <c r="V43" s="29" t="str">
        <f aca="false">IF(U43=0,"",COUNTIFS($U$5:$U$154,1,$O$5:$O$154,"&lt;"&amp;O43)+COUNTIFS($U$5:$U43,1,$O$5:$O43,O43))</f>
        <v/>
      </c>
    </row>
    <row r="44" customFormat="false" ht="15" hidden="false" customHeight="false" outlineLevel="0" collapsed="false">
      <c r="A44" s="21" t="str">
        <f aca="false">IF(B44="","","C"&amp;TEXT(ROW()-4,"000"))</f>
        <v/>
      </c>
      <c r="B44" s="22"/>
      <c r="C44" s="22"/>
      <c r="D44" s="22"/>
      <c r="E44" s="22"/>
      <c r="F44" s="22"/>
      <c r="G44" s="22"/>
      <c r="H44" s="23"/>
      <c r="I44" s="24" t="str">
        <f aca="false">IF(OR(B44="",G44=""),"",INDEX(Settings!$F$14:$F$21,MATCH(G44,Settings!$E$14:$E$21,0)))</f>
        <v/>
      </c>
      <c r="J44" s="25" t="str">
        <f aca="false">IF(OR(I44="",H44=""),"",H44*I44)</f>
        <v/>
      </c>
      <c r="K44" s="21" t="str">
        <f aca="false">IF(OR(B44="",G44=""),"",INDEX(Settings!$G$14:$G$21,MATCH(G44,Settings!$E$14:$E$21,0)))</f>
        <v/>
      </c>
      <c r="L44" s="26"/>
      <c r="M44" s="26"/>
      <c r="N44" s="22"/>
      <c r="O44" s="26"/>
      <c r="P44" s="27" t="str">
        <f aca="false">IF(OR(B44="",O44="",G44="Lost"),"",O44-Settings!$C$6)</f>
        <v/>
      </c>
      <c r="Q44" s="21" t="str">
        <f aca="false">IF(P44="","",IF(P44&lt;0,"Overdue",IF(P44&lt;=7,"Due this week","Upcoming")))</f>
        <v/>
      </c>
      <c r="R44" s="26"/>
      <c r="S44" s="28" t="str">
        <f aca="false">IF(AND(G44="7 · Past client",R44&lt;&gt;""),R44+90,"")</f>
        <v/>
      </c>
      <c r="T44" s="22"/>
      <c r="U44" s="29" t="n">
        <f aca="false">IF(P44="",0,1)</f>
        <v>0</v>
      </c>
      <c r="V44" s="29" t="str">
        <f aca="false">IF(U44=0,"",COUNTIFS($U$5:$U$154,1,$O$5:$O$154,"&lt;"&amp;O44)+COUNTIFS($U$5:$U44,1,$O$5:$O44,O44))</f>
        <v/>
      </c>
    </row>
    <row r="45" customFormat="false" ht="15" hidden="false" customHeight="false" outlineLevel="0" collapsed="false">
      <c r="A45" s="21" t="str">
        <f aca="false">IF(B45="","","C"&amp;TEXT(ROW()-4,"000"))</f>
        <v/>
      </c>
      <c r="B45" s="22"/>
      <c r="C45" s="22"/>
      <c r="D45" s="22"/>
      <c r="E45" s="22"/>
      <c r="F45" s="22"/>
      <c r="G45" s="22"/>
      <c r="H45" s="23"/>
      <c r="I45" s="24" t="str">
        <f aca="false">IF(OR(B45="",G45=""),"",INDEX(Settings!$F$14:$F$21,MATCH(G45,Settings!$E$14:$E$21,0)))</f>
        <v/>
      </c>
      <c r="J45" s="25" t="str">
        <f aca="false">IF(OR(I45="",H45=""),"",H45*I45)</f>
        <v/>
      </c>
      <c r="K45" s="21" t="str">
        <f aca="false">IF(OR(B45="",G45=""),"",INDEX(Settings!$G$14:$G$21,MATCH(G45,Settings!$E$14:$E$21,0)))</f>
        <v/>
      </c>
      <c r="L45" s="26"/>
      <c r="M45" s="26"/>
      <c r="N45" s="22"/>
      <c r="O45" s="26"/>
      <c r="P45" s="27" t="str">
        <f aca="false">IF(OR(B45="",O45="",G45="Lost"),"",O45-Settings!$C$6)</f>
        <v/>
      </c>
      <c r="Q45" s="21" t="str">
        <f aca="false">IF(P45="","",IF(P45&lt;0,"Overdue",IF(P45&lt;=7,"Due this week","Upcoming")))</f>
        <v/>
      </c>
      <c r="R45" s="26"/>
      <c r="S45" s="28" t="str">
        <f aca="false">IF(AND(G45="7 · Past client",R45&lt;&gt;""),R45+90,"")</f>
        <v/>
      </c>
      <c r="T45" s="22"/>
      <c r="U45" s="29" t="n">
        <f aca="false">IF(P45="",0,1)</f>
        <v>0</v>
      </c>
      <c r="V45" s="29" t="str">
        <f aca="false">IF(U45=0,"",COUNTIFS($U$5:$U$154,1,$O$5:$O$154,"&lt;"&amp;O45)+COUNTIFS($U$5:$U45,1,$O$5:$O45,O45))</f>
        <v/>
      </c>
    </row>
    <row r="46" customFormat="false" ht="15" hidden="false" customHeight="false" outlineLevel="0" collapsed="false">
      <c r="A46" s="21" t="str">
        <f aca="false">IF(B46="","","C"&amp;TEXT(ROW()-4,"000"))</f>
        <v/>
      </c>
      <c r="B46" s="22"/>
      <c r="C46" s="22"/>
      <c r="D46" s="22"/>
      <c r="E46" s="22"/>
      <c r="F46" s="22"/>
      <c r="G46" s="22"/>
      <c r="H46" s="23"/>
      <c r="I46" s="24" t="str">
        <f aca="false">IF(OR(B46="",G46=""),"",INDEX(Settings!$F$14:$F$21,MATCH(G46,Settings!$E$14:$E$21,0)))</f>
        <v/>
      </c>
      <c r="J46" s="25" t="str">
        <f aca="false">IF(OR(I46="",H46=""),"",H46*I46)</f>
        <v/>
      </c>
      <c r="K46" s="21" t="str">
        <f aca="false">IF(OR(B46="",G46=""),"",INDEX(Settings!$G$14:$G$21,MATCH(G46,Settings!$E$14:$E$21,0)))</f>
        <v/>
      </c>
      <c r="L46" s="26"/>
      <c r="M46" s="26"/>
      <c r="N46" s="22"/>
      <c r="O46" s="26"/>
      <c r="P46" s="27" t="str">
        <f aca="false">IF(OR(B46="",O46="",G46="Lost"),"",O46-Settings!$C$6)</f>
        <v/>
      </c>
      <c r="Q46" s="21" t="str">
        <f aca="false">IF(P46="","",IF(P46&lt;0,"Overdue",IF(P46&lt;=7,"Due this week","Upcoming")))</f>
        <v/>
      </c>
      <c r="R46" s="26"/>
      <c r="S46" s="28" t="str">
        <f aca="false">IF(AND(G46="7 · Past client",R46&lt;&gt;""),R46+90,"")</f>
        <v/>
      </c>
      <c r="T46" s="22"/>
      <c r="U46" s="29" t="n">
        <f aca="false">IF(P46="",0,1)</f>
        <v>0</v>
      </c>
      <c r="V46" s="29" t="str">
        <f aca="false">IF(U46=0,"",COUNTIFS($U$5:$U$154,1,$O$5:$O$154,"&lt;"&amp;O46)+COUNTIFS($U$5:$U46,1,$O$5:$O46,O46))</f>
        <v/>
      </c>
    </row>
    <row r="47" customFormat="false" ht="15" hidden="false" customHeight="false" outlineLevel="0" collapsed="false">
      <c r="A47" s="21" t="str">
        <f aca="false">IF(B47="","","C"&amp;TEXT(ROW()-4,"000"))</f>
        <v/>
      </c>
      <c r="B47" s="22"/>
      <c r="C47" s="22"/>
      <c r="D47" s="22"/>
      <c r="E47" s="22"/>
      <c r="F47" s="22"/>
      <c r="G47" s="22"/>
      <c r="H47" s="23"/>
      <c r="I47" s="24" t="str">
        <f aca="false">IF(OR(B47="",G47=""),"",INDEX(Settings!$F$14:$F$21,MATCH(G47,Settings!$E$14:$E$21,0)))</f>
        <v/>
      </c>
      <c r="J47" s="25" t="str">
        <f aca="false">IF(OR(I47="",H47=""),"",H47*I47)</f>
        <v/>
      </c>
      <c r="K47" s="21" t="str">
        <f aca="false">IF(OR(B47="",G47=""),"",INDEX(Settings!$G$14:$G$21,MATCH(G47,Settings!$E$14:$E$21,0)))</f>
        <v/>
      </c>
      <c r="L47" s="26"/>
      <c r="M47" s="26"/>
      <c r="N47" s="22"/>
      <c r="O47" s="26"/>
      <c r="P47" s="27" t="str">
        <f aca="false">IF(OR(B47="",O47="",G47="Lost"),"",O47-Settings!$C$6)</f>
        <v/>
      </c>
      <c r="Q47" s="21" t="str">
        <f aca="false">IF(P47="","",IF(P47&lt;0,"Overdue",IF(P47&lt;=7,"Due this week","Upcoming")))</f>
        <v/>
      </c>
      <c r="R47" s="26"/>
      <c r="S47" s="28" t="str">
        <f aca="false">IF(AND(G47="7 · Past client",R47&lt;&gt;""),R47+90,"")</f>
        <v/>
      </c>
      <c r="T47" s="22"/>
      <c r="U47" s="29" t="n">
        <f aca="false">IF(P47="",0,1)</f>
        <v>0</v>
      </c>
      <c r="V47" s="29" t="str">
        <f aca="false">IF(U47=0,"",COUNTIFS($U$5:$U$154,1,$O$5:$O$154,"&lt;"&amp;O47)+COUNTIFS($U$5:$U47,1,$O$5:$O47,O47))</f>
        <v/>
      </c>
    </row>
    <row r="48" customFormat="false" ht="15" hidden="false" customHeight="false" outlineLevel="0" collapsed="false">
      <c r="A48" s="21" t="str">
        <f aca="false">IF(B48="","","C"&amp;TEXT(ROW()-4,"000"))</f>
        <v/>
      </c>
      <c r="B48" s="22"/>
      <c r="C48" s="22"/>
      <c r="D48" s="22"/>
      <c r="E48" s="22"/>
      <c r="F48" s="22"/>
      <c r="G48" s="22"/>
      <c r="H48" s="23"/>
      <c r="I48" s="24" t="str">
        <f aca="false">IF(OR(B48="",G48=""),"",INDEX(Settings!$F$14:$F$21,MATCH(G48,Settings!$E$14:$E$21,0)))</f>
        <v/>
      </c>
      <c r="J48" s="25" t="str">
        <f aca="false">IF(OR(I48="",H48=""),"",H48*I48)</f>
        <v/>
      </c>
      <c r="K48" s="21" t="str">
        <f aca="false">IF(OR(B48="",G48=""),"",INDEX(Settings!$G$14:$G$21,MATCH(G48,Settings!$E$14:$E$21,0)))</f>
        <v/>
      </c>
      <c r="L48" s="26"/>
      <c r="M48" s="26"/>
      <c r="N48" s="22"/>
      <c r="O48" s="26"/>
      <c r="P48" s="27" t="str">
        <f aca="false">IF(OR(B48="",O48="",G48="Lost"),"",O48-Settings!$C$6)</f>
        <v/>
      </c>
      <c r="Q48" s="21" t="str">
        <f aca="false">IF(P48="","",IF(P48&lt;0,"Overdue",IF(P48&lt;=7,"Due this week","Upcoming")))</f>
        <v/>
      </c>
      <c r="R48" s="26"/>
      <c r="S48" s="28" t="str">
        <f aca="false">IF(AND(G48="7 · Past client",R48&lt;&gt;""),R48+90,"")</f>
        <v/>
      </c>
      <c r="T48" s="22"/>
      <c r="U48" s="29" t="n">
        <f aca="false">IF(P48="",0,1)</f>
        <v>0</v>
      </c>
      <c r="V48" s="29" t="str">
        <f aca="false">IF(U48=0,"",COUNTIFS($U$5:$U$154,1,$O$5:$O$154,"&lt;"&amp;O48)+COUNTIFS($U$5:$U48,1,$O$5:$O48,O48))</f>
        <v/>
      </c>
    </row>
    <row r="49" customFormat="false" ht="15" hidden="false" customHeight="false" outlineLevel="0" collapsed="false">
      <c r="A49" s="21" t="str">
        <f aca="false">IF(B49="","","C"&amp;TEXT(ROW()-4,"000"))</f>
        <v/>
      </c>
      <c r="B49" s="22"/>
      <c r="C49" s="22"/>
      <c r="D49" s="22"/>
      <c r="E49" s="22"/>
      <c r="F49" s="22"/>
      <c r="G49" s="22"/>
      <c r="H49" s="23"/>
      <c r="I49" s="24" t="str">
        <f aca="false">IF(OR(B49="",G49=""),"",INDEX(Settings!$F$14:$F$21,MATCH(G49,Settings!$E$14:$E$21,0)))</f>
        <v/>
      </c>
      <c r="J49" s="25" t="str">
        <f aca="false">IF(OR(I49="",H49=""),"",H49*I49)</f>
        <v/>
      </c>
      <c r="K49" s="21" t="str">
        <f aca="false">IF(OR(B49="",G49=""),"",INDEX(Settings!$G$14:$G$21,MATCH(G49,Settings!$E$14:$E$21,0)))</f>
        <v/>
      </c>
      <c r="L49" s="26"/>
      <c r="M49" s="26"/>
      <c r="N49" s="22"/>
      <c r="O49" s="26"/>
      <c r="P49" s="27" t="str">
        <f aca="false">IF(OR(B49="",O49="",G49="Lost"),"",O49-Settings!$C$6)</f>
        <v/>
      </c>
      <c r="Q49" s="21" t="str">
        <f aca="false">IF(P49="","",IF(P49&lt;0,"Overdue",IF(P49&lt;=7,"Due this week","Upcoming")))</f>
        <v/>
      </c>
      <c r="R49" s="26"/>
      <c r="S49" s="28" t="str">
        <f aca="false">IF(AND(G49="7 · Past client",R49&lt;&gt;""),R49+90,"")</f>
        <v/>
      </c>
      <c r="T49" s="22"/>
      <c r="U49" s="29" t="n">
        <f aca="false">IF(P49="",0,1)</f>
        <v>0</v>
      </c>
      <c r="V49" s="29" t="str">
        <f aca="false">IF(U49=0,"",COUNTIFS($U$5:$U$154,1,$O$5:$O$154,"&lt;"&amp;O49)+COUNTIFS($U$5:$U49,1,$O$5:$O49,O49))</f>
        <v/>
      </c>
    </row>
    <row r="50" customFormat="false" ht="15" hidden="false" customHeight="false" outlineLevel="0" collapsed="false">
      <c r="A50" s="21" t="str">
        <f aca="false">IF(B50="","","C"&amp;TEXT(ROW()-4,"000"))</f>
        <v/>
      </c>
      <c r="B50" s="22"/>
      <c r="C50" s="22"/>
      <c r="D50" s="22"/>
      <c r="E50" s="22"/>
      <c r="F50" s="22"/>
      <c r="G50" s="22"/>
      <c r="H50" s="23"/>
      <c r="I50" s="24" t="str">
        <f aca="false">IF(OR(B50="",G50=""),"",INDEX(Settings!$F$14:$F$21,MATCH(G50,Settings!$E$14:$E$21,0)))</f>
        <v/>
      </c>
      <c r="J50" s="25" t="str">
        <f aca="false">IF(OR(I50="",H50=""),"",H50*I50)</f>
        <v/>
      </c>
      <c r="K50" s="21" t="str">
        <f aca="false">IF(OR(B50="",G50=""),"",INDEX(Settings!$G$14:$G$21,MATCH(G50,Settings!$E$14:$E$21,0)))</f>
        <v/>
      </c>
      <c r="L50" s="26"/>
      <c r="M50" s="26"/>
      <c r="N50" s="22"/>
      <c r="O50" s="26"/>
      <c r="P50" s="27" t="str">
        <f aca="false">IF(OR(B50="",O50="",G50="Lost"),"",O50-Settings!$C$6)</f>
        <v/>
      </c>
      <c r="Q50" s="21" t="str">
        <f aca="false">IF(P50="","",IF(P50&lt;0,"Overdue",IF(P50&lt;=7,"Due this week","Upcoming")))</f>
        <v/>
      </c>
      <c r="R50" s="26"/>
      <c r="S50" s="28" t="str">
        <f aca="false">IF(AND(G50="7 · Past client",R50&lt;&gt;""),R50+90,"")</f>
        <v/>
      </c>
      <c r="T50" s="22"/>
      <c r="U50" s="29" t="n">
        <f aca="false">IF(P50="",0,1)</f>
        <v>0</v>
      </c>
      <c r="V50" s="29" t="str">
        <f aca="false">IF(U50=0,"",COUNTIFS($U$5:$U$154,1,$O$5:$O$154,"&lt;"&amp;O50)+COUNTIFS($U$5:$U50,1,$O$5:$O50,O50))</f>
        <v/>
      </c>
    </row>
    <row r="51" customFormat="false" ht="15" hidden="false" customHeight="false" outlineLevel="0" collapsed="false">
      <c r="A51" s="21" t="str">
        <f aca="false">IF(B51="","","C"&amp;TEXT(ROW()-4,"000"))</f>
        <v/>
      </c>
      <c r="B51" s="22"/>
      <c r="C51" s="22"/>
      <c r="D51" s="22"/>
      <c r="E51" s="22"/>
      <c r="F51" s="22"/>
      <c r="G51" s="22"/>
      <c r="H51" s="23"/>
      <c r="I51" s="24" t="str">
        <f aca="false">IF(OR(B51="",G51=""),"",INDEX(Settings!$F$14:$F$21,MATCH(G51,Settings!$E$14:$E$21,0)))</f>
        <v/>
      </c>
      <c r="J51" s="25" t="str">
        <f aca="false">IF(OR(I51="",H51=""),"",H51*I51)</f>
        <v/>
      </c>
      <c r="K51" s="21" t="str">
        <f aca="false">IF(OR(B51="",G51=""),"",INDEX(Settings!$G$14:$G$21,MATCH(G51,Settings!$E$14:$E$21,0)))</f>
        <v/>
      </c>
      <c r="L51" s="26"/>
      <c r="M51" s="26"/>
      <c r="N51" s="22"/>
      <c r="O51" s="26"/>
      <c r="P51" s="27" t="str">
        <f aca="false">IF(OR(B51="",O51="",G51="Lost"),"",O51-Settings!$C$6)</f>
        <v/>
      </c>
      <c r="Q51" s="21" t="str">
        <f aca="false">IF(P51="","",IF(P51&lt;0,"Overdue",IF(P51&lt;=7,"Due this week","Upcoming")))</f>
        <v/>
      </c>
      <c r="R51" s="26"/>
      <c r="S51" s="28" t="str">
        <f aca="false">IF(AND(G51="7 · Past client",R51&lt;&gt;""),R51+90,"")</f>
        <v/>
      </c>
      <c r="T51" s="22"/>
      <c r="U51" s="29" t="n">
        <f aca="false">IF(P51="",0,1)</f>
        <v>0</v>
      </c>
      <c r="V51" s="29" t="str">
        <f aca="false">IF(U51=0,"",COUNTIFS($U$5:$U$154,1,$O$5:$O$154,"&lt;"&amp;O51)+COUNTIFS($U$5:$U51,1,$O$5:$O51,O51))</f>
        <v/>
      </c>
    </row>
    <row r="52" customFormat="false" ht="15" hidden="false" customHeight="false" outlineLevel="0" collapsed="false">
      <c r="A52" s="21" t="str">
        <f aca="false">IF(B52="","","C"&amp;TEXT(ROW()-4,"000"))</f>
        <v/>
      </c>
      <c r="B52" s="22"/>
      <c r="C52" s="22"/>
      <c r="D52" s="22"/>
      <c r="E52" s="22"/>
      <c r="F52" s="22"/>
      <c r="G52" s="22"/>
      <c r="H52" s="23"/>
      <c r="I52" s="24" t="str">
        <f aca="false">IF(OR(B52="",G52=""),"",INDEX(Settings!$F$14:$F$21,MATCH(G52,Settings!$E$14:$E$21,0)))</f>
        <v/>
      </c>
      <c r="J52" s="25" t="str">
        <f aca="false">IF(OR(I52="",H52=""),"",H52*I52)</f>
        <v/>
      </c>
      <c r="K52" s="21" t="str">
        <f aca="false">IF(OR(B52="",G52=""),"",INDEX(Settings!$G$14:$G$21,MATCH(G52,Settings!$E$14:$E$21,0)))</f>
        <v/>
      </c>
      <c r="L52" s="26"/>
      <c r="M52" s="26"/>
      <c r="N52" s="22"/>
      <c r="O52" s="26"/>
      <c r="P52" s="27" t="str">
        <f aca="false">IF(OR(B52="",O52="",G52="Lost"),"",O52-Settings!$C$6)</f>
        <v/>
      </c>
      <c r="Q52" s="21" t="str">
        <f aca="false">IF(P52="","",IF(P52&lt;0,"Overdue",IF(P52&lt;=7,"Due this week","Upcoming")))</f>
        <v/>
      </c>
      <c r="R52" s="26"/>
      <c r="S52" s="28" t="str">
        <f aca="false">IF(AND(G52="7 · Past client",R52&lt;&gt;""),R52+90,"")</f>
        <v/>
      </c>
      <c r="T52" s="22"/>
      <c r="U52" s="29" t="n">
        <f aca="false">IF(P52="",0,1)</f>
        <v>0</v>
      </c>
      <c r="V52" s="29" t="str">
        <f aca="false">IF(U52=0,"",COUNTIFS($U$5:$U$154,1,$O$5:$O$154,"&lt;"&amp;O52)+COUNTIFS($U$5:$U52,1,$O$5:$O52,O52))</f>
        <v/>
      </c>
    </row>
    <row r="53" customFormat="false" ht="15" hidden="false" customHeight="false" outlineLevel="0" collapsed="false">
      <c r="A53" s="21" t="str">
        <f aca="false">IF(B53="","","C"&amp;TEXT(ROW()-4,"000"))</f>
        <v/>
      </c>
      <c r="B53" s="22"/>
      <c r="C53" s="22"/>
      <c r="D53" s="22"/>
      <c r="E53" s="22"/>
      <c r="F53" s="22"/>
      <c r="G53" s="22"/>
      <c r="H53" s="23"/>
      <c r="I53" s="24" t="str">
        <f aca="false">IF(OR(B53="",G53=""),"",INDEX(Settings!$F$14:$F$21,MATCH(G53,Settings!$E$14:$E$21,0)))</f>
        <v/>
      </c>
      <c r="J53" s="25" t="str">
        <f aca="false">IF(OR(I53="",H53=""),"",H53*I53)</f>
        <v/>
      </c>
      <c r="K53" s="21" t="str">
        <f aca="false">IF(OR(B53="",G53=""),"",INDEX(Settings!$G$14:$G$21,MATCH(G53,Settings!$E$14:$E$21,0)))</f>
        <v/>
      </c>
      <c r="L53" s="26"/>
      <c r="M53" s="26"/>
      <c r="N53" s="22"/>
      <c r="O53" s="26"/>
      <c r="P53" s="27" t="str">
        <f aca="false">IF(OR(B53="",O53="",G53="Lost"),"",O53-Settings!$C$6)</f>
        <v/>
      </c>
      <c r="Q53" s="21" t="str">
        <f aca="false">IF(P53="","",IF(P53&lt;0,"Overdue",IF(P53&lt;=7,"Due this week","Upcoming")))</f>
        <v/>
      </c>
      <c r="R53" s="26"/>
      <c r="S53" s="28" t="str">
        <f aca="false">IF(AND(G53="7 · Past client",R53&lt;&gt;""),R53+90,"")</f>
        <v/>
      </c>
      <c r="T53" s="22"/>
      <c r="U53" s="29" t="n">
        <f aca="false">IF(P53="",0,1)</f>
        <v>0</v>
      </c>
      <c r="V53" s="29" t="str">
        <f aca="false">IF(U53=0,"",COUNTIFS($U$5:$U$154,1,$O$5:$O$154,"&lt;"&amp;O53)+COUNTIFS($U$5:$U53,1,$O$5:$O53,O53))</f>
        <v/>
      </c>
    </row>
    <row r="54" customFormat="false" ht="15" hidden="false" customHeight="false" outlineLevel="0" collapsed="false">
      <c r="A54" s="21" t="str">
        <f aca="false">IF(B54="","","C"&amp;TEXT(ROW()-4,"000"))</f>
        <v/>
      </c>
      <c r="B54" s="22"/>
      <c r="C54" s="22"/>
      <c r="D54" s="22"/>
      <c r="E54" s="22"/>
      <c r="F54" s="22"/>
      <c r="G54" s="22"/>
      <c r="H54" s="23"/>
      <c r="I54" s="24" t="str">
        <f aca="false">IF(OR(B54="",G54=""),"",INDEX(Settings!$F$14:$F$21,MATCH(G54,Settings!$E$14:$E$21,0)))</f>
        <v/>
      </c>
      <c r="J54" s="25" t="str">
        <f aca="false">IF(OR(I54="",H54=""),"",H54*I54)</f>
        <v/>
      </c>
      <c r="K54" s="21" t="str">
        <f aca="false">IF(OR(B54="",G54=""),"",INDEX(Settings!$G$14:$G$21,MATCH(G54,Settings!$E$14:$E$21,0)))</f>
        <v/>
      </c>
      <c r="L54" s="26"/>
      <c r="M54" s="26"/>
      <c r="N54" s="22"/>
      <c r="O54" s="26"/>
      <c r="P54" s="27" t="str">
        <f aca="false">IF(OR(B54="",O54="",G54="Lost"),"",O54-Settings!$C$6)</f>
        <v/>
      </c>
      <c r="Q54" s="21" t="str">
        <f aca="false">IF(P54="","",IF(P54&lt;0,"Overdue",IF(P54&lt;=7,"Due this week","Upcoming")))</f>
        <v/>
      </c>
      <c r="R54" s="26"/>
      <c r="S54" s="28" t="str">
        <f aca="false">IF(AND(G54="7 · Past client",R54&lt;&gt;""),R54+90,"")</f>
        <v/>
      </c>
      <c r="T54" s="22"/>
      <c r="U54" s="29" t="n">
        <f aca="false">IF(P54="",0,1)</f>
        <v>0</v>
      </c>
      <c r="V54" s="29" t="str">
        <f aca="false">IF(U54=0,"",COUNTIFS($U$5:$U$154,1,$O$5:$O$154,"&lt;"&amp;O54)+COUNTIFS($U$5:$U54,1,$O$5:$O54,O54))</f>
        <v/>
      </c>
    </row>
    <row r="55" customFormat="false" ht="15" hidden="false" customHeight="false" outlineLevel="0" collapsed="false">
      <c r="A55" s="21" t="str">
        <f aca="false">IF(B55="","","C"&amp;TEXT(ROW()-4,"000"))</f>
        <v/>
      </c>
      <c r="B55" s="22"/>
      <c r="C55" s="22"/>
      <c r="D55" s="22"/>
      <c r="E55" s="22"/>
      <c r="F55" s="22"/>
      <c r="G55" s="22"/>
      <c r="H55" s="23"/>
      <c r="I55" s="24" t="str">
        <f aca="false">IF(OR(B55="",G55=""),"",INDEX(Settings!$F$14:$F$21,MATCH(G55,Settings!$E$14:$E$21,0)))</f>
        <v/>
      </c>
      <c r="J55" s="25" t="str">
        <f aca="false">IF(OR(I55="",H55=""),"",H55*I55)</f>
        <v/>
      </c>
      <c r="K55" s="21" t="str">
        <f aca="false">IF(OR(B55="",G55=""),"",INDEX(Settings!$G$14:$G$21,MATCH(G55,Settings!$E$14:$E$21,0)))</f>
        <v/>
      </c>
      <c r="L55" s="26"/>
      <c r="M55" s="26"/>
      <c r="N55" s="22"/>
      <c r="O55" s="26"/>
      <c r="P55" s="27" t="str">
        <f aca="false">IF(OR(B55="",O55="",G55="Lost"),"",O55-Settings!$C$6)</f>
        <v/>
      </c>
      <c r="Q55" s="21" t="str">
        <f aca="false">IF(P55="","",IF(P55&lt;0,"Overdue",IF(P55&lt;=7,"Due this week","Upcoming")))</f>
        <v/>
      </c>
      <c r="R55" s="26"/>
      <c r="S55" s="28" t="str">
        <f aca="false">IF(AND(G55="7 · Past client",R55&lt;&gt;""),R55+90,"")</f>
        <v/>
      </c>
      <c r="T55" s="22"/>
      <c r="U55" s="29" t="n">
        <f aca="false">IF(P55="",0,1)</f>
        <v>0</v>
      </c>
      <c r="V55" s="29" t="str">
        <f aca="false">IF(U55=0,"",COUNTIFS($U$5:$U$154,1,$O$5:$O$154,"&lt;"&amp;O55)+COUNTIFS($U$5:$U55,1,$O$5:$O55,O55))</f>
        <v/>
      </c>
    </row>
    <row r="56" customFormat="false" ht="15" hidden="false" customHeight="false" outlineLevel="0" collapsed="false">
      <c r="A56" s="21" t="str">
        <f aca="false">IF(B56="","","C"&amp;TEXT(ROW()-4,"000"))</f>
        <v/>
      </c>
      <c r="B56" s="22"/>
      <c r="C56" s="22"/>
      <c r="D56" s="22"/>
      <c r="E56" s="22"/>
      <c r="F56" s="22"/>
      <c r="G56" s="22"/>
      <c r="H56" s="23"/>
      <c r="I56" s="24" t="str">
        <f aca="false">IF(OR(B56="",G56=""),"",INDEX(Settings!$F$14:$F$21,MATCH(G56,Settings!$E$14:$E$21,0)))</f>
        <v/>
      </c>
      <c r="J56" s="25" t="str">
        <f aca="false">IF(OR(I56="",H56=""),"",H56*I56)</f>
        <v/>
      </c>
      <c r="K56" s="21" t="str">
        <f aca="false">IF(OR(B56="",G56=""),"",INDEX(Settings!$G$14:$G$21,MATCH(G56,Settings!$E$14:$E$21,0)))</f>
        <v/>
      </c>
      <c r="L56" s="26"/>
      <c r="M56" s="26"/>
      <c r="N56" s="22"/>
      <c r="O56" s="26"/>
      <c r="P56" s="27" t="str">
        <f aca="false">IF(OR(B56="",O56="",G56="Lost"),"",O56-Settings!$C$6)</f>
        <v/>
      </c>
      <c r="Q56" s="21" t="str">
        <f aca="false">IF(P56="","",IF(P56&lt;0,"Overdue",IF(P56&lt;=7,"Due this week","Upcoming")))</f>
        <v/>
      </c>
      <c r="R56" s="26"/>
      <c r="S56" s="28" t="str">
        <f aca="false">IF(AND(G56="7 · Past client",R56&lt;&gt;""),R56+90,"")</f>
        <v/>
      </c>
      <c r="T56" s="22"/>
      <c r="U56" s="29" t="n">
        <f aca="false">IF(P56="",0,1)</f>
        <v>0</v>
      </c>
      <c r="V56" s="29" t="str">
        <f aca="false">IF(U56=0,"",COUNTIFS($U$5:$U$154,1,$O$5:$O$154,"&lt;"&amp;O56)+COUNTIFS($U$5:$U56,1,$O$5:$O56,O56))</f>
        <v/>
      </c>
    </row>
    <row r="57" customFormat="false" ht="15" hidden="false" customHeight="false" outlineLevel="0" collapsed="false">
      <c r="A57" s="21" t="str">
        <f aca="false">IF(B57="","","C"&amp;TEXT(ROW()-4,"000"))</f>
        <v/>
      </c>
      <c r="B57" s="22"/>
      <c r="C57" s="22"/>
      <c r="D57" s="22"/>
      <c r="E57" s="22"/>
      <c r="F57" s="22"/>
      <c r="G57" s="22"/>
      <c r="H57" s="23"/>
      <c r="I57" s="24" t="str">
        <f aca="false">IF(OR(B57="",G57=""),"",INDEX(Settings!$F$14:$F$21,MATCH(G57,Settings!$E$14:$E$21,0)))</f>
        <v/>
      </c>
      <c r="J57" s="25" t="str">
        <f aca="false">IF(OR(I57="",H57=""),"",H57*I57)</f>
        <v/>
      </c>
      <c r="K57" s="21" t="str">
        <f aca="false">IF(OR(B57="",G57=""),"",INDEX(Settings!$G$14:$G$21,MATCH(G57,Settings!$E$14:$E$21,0)))</f>
        <v/>
      </c>
      <c r="L57" s="26"/>
      <c r="M57" s="26"/>
      <c r="N57" s="22"/>
      <c r="O57" s="26"/>
      <c r="P57" s="27" t="str">
        <f aca="false">IF(OR(B57="",O57="",G57="Lost"),"",O57-Settings!$C$6)</f>
        <v/>
      </c>
      <c r="Q57" s="21" t="str">
        <f aca="false">IF(P57="","",IF(P57&lt;0,"Overdue",IF(P57&lt;=7,"Due this week","Upcoming")))</f>
        <v/>
      </c>
      <c r="R57" s="26"/>
      <c r="S57" s="28" t="str">
        <f aca="false">IF(AND(G57="7 · Past client",R57&lt;&gt;""),R57+90,"")</f>
        <v/>
      </c>
      <c r="T57" s="22"/>
      <c r="U57" s="29" t="n">
        <f aca="false">IF(P57="",0,1)</f>
        <v>0</v>
      </c>
      <c r="V57" s="29" t="str">
        <f aca="false">IF(U57=0,"",COUNTIFS($U$5:$U$154,1,$O$5:$O$154,"&lt;"&amp;O57)+COUNTIFS($U$5:$U57,1,$O$5:$O57,O57))</f>
        <v/>
      </c>
    </row>
    <row r="58" customFormat="false" ht="15" hidden="false" customHeight="false" outlineLevel="0" collapsed="false">
      <c r="A58" s="21" t="str">
        <f aca="false">IF(B58="","","C"&amp;TEXT(ROW()-4,"000"))</f>
        <v/>
      </c>
      <c r="B58" s="22"/>
      <c r="C58" s="22"/>
      <c r="D58" s="22"/>
      <c r="E58" s="22"/>
      <c r="F58" s="22"/>
      <c r="G58" s="22"/>
      <c r="H58" s="23"/>
      <c r="I58" s="24" t="str">
        <f aca="false">IF(OR(B58="",G58=""),"",INDEX(Settings!$F$14:$F$21,MATCH(G58,Settings!$E$14:$E$21,0)))</f>
        <v/>
      </c>
      <c r="J58" s="25" t="str">
        <f aca="false">IF(OR(I58="",H58=""),"",H58*I58)</f>
        <v/>
      </c>
      <c r="K58" s="21" t="str">
        <f aca="false">IF(OR(B58="",G58=""),"",INDEX(Settings!$G$14:$G$21,MATCH(G58,Settings!$E$14:$E$21,0)))</f>
        <v/>
      </c>
      <c r="L58" s="26"/>
      <c r="M58" s="26"/>
      <c r="N58" s="22"/>
      <c r="O58" s="26"/>
      <c r="P58" s="27" t="str">
        <f aca="false">IF(OR(B58="",O58="",G58="Lost"),"",O58-Settings!$C$6)</f>
        <v/>
      </c>
      <c r="Q58" s="21" t="str">
        <f aca="false">IF(P58="","",IF(P58&lt;0,"Overdue",IF(P58&lt;=7,"Due this week","Upcoming")))</f>
        <v/>
      </c>
      <c r="R58" s="26"/>
      <c r="S58" s="28" t="str">
        <f aca="false">IF(AND(G58="7 · Past client",R58&lt;&gt;""),R58+90,"")</f>
        <v/>
      </c>
      <c r="T58" s="22"/>
      <c r="U58" s="29" t="n">
        <f aca="false">IF(P58="",0,1)</f>
        <v>0</v>
      </c>
      <c r="V58" s="29" t="str">
        <f aca="false">IF(U58=0,"",COUNTIFS($U$5:$U$154,1,$O$5:$O$154,"&lt;"&amp;O58)+COUNTIFS($U$5:$U58,1,$O$5:$O58,O58))</f>
        <v/>
      </c>
    </row>
    <row r="59" customFormat="false" ht="15" hidden="false" customHeight="false" outlineLevel="0" collapsed="false">
      <c r="A59" s="21" t="str">
        <f aca="false">IF(B59="","","C"&amp;TEXT(ROW()-4,"000"))</f>
        <v/>
      </c>
      <c r="B59" s="22"/>
      <c r="C59" s="22"/>
      <c r="D59" s="22"/>
      <c r="E59" s="22"/>
      <c r="F59" s="22"/>
      <c r="G59" s="22"/>
      <c r="H59" s="23"/>
      <c r="I59" s="24" t="str">
        <f aca="false">IF(OR(B59="",G59=""),"",INDEX(Settings!$F$14:$F$21,MATCH(G59,Settings!$E$14:$E$21,0)))</f>
        <v/>
      </c>
      <c r="J59" s="25" t="str">
        <f aca="false">IF(OR(I59="",H59=""),"",H59*I59)</f>
        <v/>
      </c>
      <c r="K59" s="21" t="str">
        <f aca="false">IF(OR(B59="",G59=""),"",INDEX(Settings!$G$14:$G$21,MATCH(G59,Settings!$E$14:$E$21,0)))</f>
        <v/>
      </c>
      <c r="L59" s="26"/>
      <c r="M59" s="26"/>
      <c r="N59" s="22"/>
      <c r="O59" s="26"/>
      <c r="P59" s="27" t="str">
        <f aca="false">IF(OR(B59="",O59="",G59="Lost"),"",O59-Settings!$C$6)</f>
        <v/>
      </c>
      <c r="Q59" s="21" t="str">
        <f aca="false">IF(P59="","",IF(P59&lt;0,"Overdue",IF(P59&lt;=7,"Due this week","Upcoming")))</f>
        <v/>
      </c>
      <c r="R59" s="26"/>
      <c r="S59" s="28" t="str">
        <f aca="false">IF(AND(G59="7 · Past client",R59&lt;&gt;""),R59+90,"")</f>
        <v/>
      </c>
      <c r="T59" s="22"/>
      <c r="U59" s="29" t="n">
        <f aca="false">IF(P59="",0,1)</f>
        <v>0</v>
      </c>
      <c r="V59" s="29" t="str">
        <f aca="false">IF(U59=0,"",COUNTIFS($U$5:$U$154,1,$O$5:$O$154,"&lt;"&amp;O59)+COUNTIFS($U$5:$U59,1,$O$5:$O59,O59))</f>
        <v/>
      </c>
    </row>
    <row r="60" customFormat="false" ht="15" hidden="false" customHeight="false" outlineLevel="0" collapsed="false">
      <c r="A60" s="21" t="str">
        <f aca="false">IF(B60="","","C"&amp;TEXT(ROW()-4,"000"))</f>
        <v/>
      </c>
      <c r="B60" s="22"/>
      <c r="C60" s="22"/>
      <c r="D60" s="22"/>
      <c r="E60" s="22"/>
      <c r="F60" s="22"/>
      <c r="G60" s="22"/>
      <c r="H60" s="23"/>
      <c r="I60" s="24" t="str">
        <f aca="false">IF(OR(B60="",G60=""),"",INDEX(Settings!$F$14:$F$21,MATCH(G60,Settings!$E$14:$E$21,0)))</f>
        <v/>
      </c>
      <c r="J60" s="25" t="str">
        <f aca="false">IF(OR(I60="",H60=""),"",H60*I60)</f>
        <v/>
      </c>
      <c r="K60" s="21" t="str">
        <f aca="false">IF(OR(B60="",G60=""),"",INDEX(Settings!$G$14:$G$21,MATCH(G60,Settings!$E$14:$E$21,0)))</f>
        <v/>
      </c>
      <c r="L60" s="26"/>
      <c r="M60" s="26"/>
      <c r="N60" s="22"/>
      <c r="O60" s="26"/>
      <c r="P60" s="27" t="str">
        <f aca="false">IF(OR(B60="",O60="",G60="Lost"),"",O60-Settings!$C$6)</f>
        <v/>
      </c>
      <c r="Q60" s="21" t="str">
        <f aca="false">IF(P60="","",IF(P60&lt;0,"Overdue",IF(P60&lt;=7,"Due this week","Upcoming")))</f>
        <v/>
      </c>
      <c r="R60" s="26"/>
      <c r="S60" s="28" t="str">
        <f aca="false">IF(AND(G60="7 · Past client",R60&lt;&gt;""),R60+90,"")</f>
        <v/>
      </c>
      <c r="T60" s="22"/>
      <c r="U60" s="29" t="n">
        <f aca="false">IF(P60="",0,1)</f>
        <v>0</v>
      </c>
      <c r="V60" s="29" t="str">
        <f aca="false">IF(U60=0,"",COUNTIFS($U$5:$U$154,1,$O$5:$O$154,"&lt;"&amp;O60)+COUNTIFS($U$5:$U60,1,$O$5:$O60,O60))</f>
        <v/>
      </c>
    </row>
    <row r="61" customFormat="false" ht="15" hidden="false" customHeight="false" outlineLevel="0" collapsed="false">
      <c r="A61" s="21" t="str">
        <f aca="false">IF(B61="","","C"&amp;TEXT(ROW()-4,"000"))</f>
        <v/>
      </c>
      <c r="B61" s="22"/>
      <c r="C61" s="22"/>
      <c r="D61" s="22"/>
      <c r="E61" s="22"/>
      <c r="F61" s="22"/>
      <c r="G61" s="22"/>
      <c r="H61" s="23"/>
      <c r="I61" s="24" t="str">
        <f aca="false">IF(OR(B61="",G61=""),"",INDEX(Settings!$F$14:$F$21,MATCH(G61,Settings!$E$14:$E$21,0)))</f>
        <v/>
      </c>
      <c r="J61" s="25" t="str">
        <f aca="false">IF(OR(I61="",H61=""),"",H61*I61)</f>
        <v/>
      </c>
      <c r="K61" s="21" t="str">
        <f aca="false">IF(OR(B61="",G61=""),"",INDEX(Settings!$G$14:$G$21,MATCH(G61,Settings!$E$14:$E$21,0)))</f>
        <v/>
      </c>
      <c r="L61" s="26"/>
      <c r="M61" s="26"/>
      <c r="N61" s="22"/>
      <c r="O61" s="26"/>
      <c r="P61" s="27" t="str">
        <f aca="false">IF(OR(B61="",O61="",G61="Lost"),"",O61-Settings!$C$6)</f>
        <v/>
      </c>
      <c r="Q61" s="21" t="str">
        <f aca="false">IF(P61="","",IF(P61&lt;0,"Overdue",IF(P61&lt;=7,"Due this week","Upcoming")))</f>
        <v/>
      </c>
      <c r="R61" s="26"/>
      <c r="S61" s="28" t="str">
        <f aca="false">IF(AND(G61="7 · Past client",R61&lt;&gt;""),R61+90,"")</f>
        <v/>
      </c>
      <c r="T61" s="22"/>
      <c r="U61" s="29" t="n">
        <f aca="false">IF(P61="",0,1)</f>
        <v>0</v>
      </c>
      <c r="V61" s="29" t="str">
        <f aca="false">IF(U61=0,"",COUNTIFS($U$5:$U$154,1,$O$5:$O$154,"&lt;"&amp;O61)+COUNTIFS($U$5:$U61,1,$O$5:$O61,O61))</f>
        <v/>
      </c>
    </row>
    <row r="62" customFormat="false" ht="15" hidden="false" customHeight="false" outlineLevel="0" collapsed="false">
      <c r="A62" s="21" t="str">
        <f aca="false">IF(B62="","","C"&amp;TEXT(ROW()-4,"000"))</f>
        <v/>
      </c>
      <c r="B62" s="22"/>
      <c r="C62" s="22"/>
      <c r="D62" s="22"/>
      <c r="E62" s="22"/>
      <c r="F62" s="22"/>
      <c r="G62" s="22"/>
      <c r="H62" s="23"/>
      <c r="I62" s="24" t="str">
        <f aca="false">IF(OR(B62="",G62=""),"",INDEX(Settings!$F$14:$F$21,MATCH(G62,Settings!$E$14:$E$21,0)))</f>
        <v/>
      </c>
      <c r="J62" s="25" t="str">
        <f aca="false">IF(OR(I62="",H62=""),"",H62*I62)</f>
        <v/>
      </c>
      <c r="K62" s="21" t="str">
        <f aca="false">IF(OR(B62="",G62=""),"",INDEX(Settings!$G$14:$G$21,MATCH(G62,Settings!$E$14:$E$21,0)))</f>
        <v/>
      </c>
      <c r="L62" s="26"/>
      <c r="M62" s="26"/>
      <c r="N62" s="22"/>
      <c r="O62" s="26"/>
      <c r="P62" s="27" t="str">
        <f aca="false">IF(OR(B62="",O62="",G62="Lost"),"",O62-Settings!$C$6)</f>
        <v/>
      </c>
      <c r="Q62" s="21" t="str">
        <f aca="false">IF(P62="","",IF(P62&lt;0,"Overdue",IF(P62&lt;=7,"Due this week","Upcoming")))</f>
        <v/>
      </c>
      <c r="R62" s="26"/>
      <c r="S62" s="28" t="str">
        <f aca="false">IF(AND(G62="7 · Past client",R62&lt;&gt;""),R62+90,"")</f>
        <v/>
      </c>
      <c r="T62" s="22"/>
      <c r="U62" s="29" t="n">
        <f aca="false">IF(P62="",0,1)</f>
        <v>0</v>
      </c>
      <c r="V62" s="29" t="str">
        <f aca="false">IF(U62=0,"",COUNTIFS($U$5:$U$154,1,$O$5:$O$154,"&lt;"&amp;O62)+COUNTIFS($U$5:$U62,1,$O$5:$O62,O62))</f>
        <v/>
      </c>
    </row>
    <row r="63" customFormat="false" ht="15" hidden="false" customHeight="false" outlineLevel="0" collapsed="false">
      <c r="A63" s="21" t="str">
        <f aca="false">IF(B63="","","C"&amp;TEXT(ROW()-4,"000"))</f>
        <v/>
      </c>
      <c r="B63" s="22"/>
      <c r="C63" s="22"/>
      <c r="D63" s="22"/>
      <c r="E63" s="22"/>
      <c r="F63" s="22"/>
      <c r="G63" s="22"/>
      <c r="H63" s="23"/>
      <c r="I63" s="24" t="str">
        <f aca="false">IF(OR(B63="",G63=""),"",INDEX(Settings!$F$14:$F$21,MATCH(G63,Settings!$E$14:$E$21,0)))</f>
        <v/>
      </c>
      <c r="J63" s="25" t="str">
        <f aca="false">IF(OR(I63="",H63=""),"",H63*I63)</f>
        <v/>
      </c>
      <c r="K63" s="21" t="str">
        <f aca="false">IF(OR(B63="",G63=""),"",INDEX(Settings!$G$14:$G$21,MATCH(G63,Settings!$E$14:$E$21,0)))</f>
        <v/>
      </c>
      <c r="L63" s="26"/>
      <c r="M63" s="26"/>
      <c r="N63" s="22"/>
      <c r="O63" s="26"/>
      <c r="P63" s="27" t="str">
        <f aca="false">IF(OR(B63="",O63="",G63="Lost"),"",O63-Settings!$C$6)</f>
        <v/>
      </c>
      <c r="Q63" s="21" t="str">
        <f aca="false">IF(P63="","",IF(P63&lt;0,"Overdue",IF(P63&lt;=7,"Due this week","Upcoming")))</f>
        <v/>
      </c>
      <c r="R63" s="26"/>
      <c r="S63" s="28" t="str">
        <f aca="false">IF(AND(G63="7 · Past client",R63&lt;&gt;""),R63+90,"")</f>
        <v/>
      </c>
      <c r="T63" s="22"/>
      <c r="U63" s="29" t="n">
        <f aca="false">IF(P63="",0,1)</f>
        <v>0</v>
      </c>
      <c r="V63" s="29" t="str">
        <f aca="false">IF(U63=0,"",COUNTIFS($U$5:$U$154,1,$O$5:$O$154,"&lt;"&amp;O63)+COUNTIFS($U$5:$U63,1,$O$5:$O63,O63))</f>
        <v/>
      </c>
    </row>
    <row r="64" customFormat="false" ht="15" hidden="false" customHeight="false" outlineLevel="0" collapsed="false">
      <c r="A64" s="21" t="str">
        <f aca="false">IF(B64="","","C"&amp;TEXT(ROW()-4,"000"))</f>
        <v/>
      </c>
      <c r="B64" s="22"/>
      <c r="C64" s="22"/>
      <c r="D64" s="22"/>
      <c r="E64" s="22"/>
      <c r="F64" s="22"/>
      <c r="G64" s="22"/>
      <c r="H64" s="23"/>
      <c r="I64" s="24" t="str">
        <f aca="false">IF(OR(B64="",G64=""),"",INDEX(Settings!$F$14:$F$21,MATCH(G64,Settings!$E$14:$E$21,0)))</f>
        <v/>
      </c>
      <c r="J64" s="25" t="str">
        <f aca="false">IF(OR(I64="",H64=""),"",H64*I64)</f>
        <v/>
      </c>
      <c r="K64" s="21" t="str">
        <f aca="false">IF(OR(B64="",G64=""),"",INDEX(Settings!$G$14:$G$21,MATCH(G64,Settings!$E$14:$E$21,0)))</f>
        <v/>
      </c>
      <c r="L64" s="26"/>
      <c r="M64" s="26"/>
      <c r="N64" s="22"/>
      <c r="O64" s="26"/>
      <c r="P64" s="27" t="str">
        <f aca="false">IF(OR(B64="",O64="",G64="Lost"),"",O64-Settings!$C$6)</f>
        <v/>
      </c>
      <c r="Q64" s="21" t="str">
        <f aca="false">IF(P64="","",IF(P64&lt;0,"Overdue",IF(P64&lt;=7,"Due this week","Upcoming")))</f>
        <v/>
      </c>
      <c r="R64" s="26"/>
      <c r="S64" s="28" t="str">
        <f aca="false">IF(AND(G64="7 · Past client",R64&lt;&gt;""),R64+90,"")</f>
        <v/>
      </c>
      <c r="T64" s="22"/>
      <c r="U64" s="29" t="n">
        <f aca="false">IF(P64="",0,1)</f>
        <v>0</v>
      </c>
      <c r="V64" s="29" t="str">
        <f aca="false">IF(U64=0,"",COUNTIFS($U$5:$U$154,1,$O$5:$O$154,"&lt;"&amp;O64)+COUNTIFS($U$5:$U64,1,$O$5:$O64,O64))</f>
        <v/>
      </c>
    </row>
    <row r="65" customFormat="false" ht="15" hidden="false" customHeight="false" outlineLevel="0" collapsed="false">
      <c r="A65" s="21" t="str">
        <f aca="false">IF(B65="","","C"&amp;TEXT(ROW()-4,"000"))</f>
        <v/>
      </c>
      <c r="B65" s="22"/>
      <c r="C65" s="22"/>
      <c r="D65" s="22"/>
      <c r="E65" s="22"/>
      <c r="F65" s="22"/>
      <c r="G65" s="22"/>
      <c r="H65" s="23"/>
      <c r="I65" s="24" t="str">
        <f aca="false">IF(OR(B65="",G65=""),"",INDEX(Settings!$F$14:$F$21,MATCH(G65,Settings!$E$14:$E$21,0)))</f>
        <v/>
      </c>
      <c r="J65" s="25" t="str">
        <f aca="false">IF(OR(I65="",H65=""),"",H65*I65)</f>
        <v/>
      </c>
      <c r="K65" s="21" t="str">
        <f aca="false">IF(OR(B65="",G65=""),"",INDEX(Settings!$G$14:$G$21,MATCH(G65,Settings!$E$14:$E$21,0)))</f>
        <v/>
      </c>
      <c r="L65" s="26"/>
      <c r="M65" s="26"/>
      <c r="N65" s="22"/>
      <c r="O65" s="26"/>
      <c r="P65" s="27" t="str">
        <f aca="false">IF(OR(B65="",O65="",G65="Lost"),"",O65-Settings!$C$6)</f>
        <v/>
      </c>
      <c r="Q65" s="21" t="str">
        <f aca="false">IF(P65="","",IF(P65&lt;0,"Overdue",IF(P65&lt;=7,"Due this week","Upcoming")))</f>
        <v/>
      </c>
      <c r="R65" s="26"/>
      <c r="S65" s="28" t="str">
        <f aca="false">IF(AND(G65="7 · Past client",R65&lt;&gt;""),R65+90,"")</f>
        <v/>
      </c>
      <c r="T65" s="22"/>
      <c r="U65" s="29" t="n">
        <f aca="false">IF(P65="",0,1)</f>
        <v>0</v>
      </c>
      <c r="V65" s="29" t="str">
        <f aca="false">IF(U65=0,"",COUNTIFS($U$5:$U$154,1,$O$5:$O$154,"&lt;"&amp;O65)+COUNTIFS($U$5:$U65,1,$O$5:$O65,O65))</f>
        <v/>
      </c>
    </row>
    <row r="66" customFormat="false" ht="15" hidden="false" customHeight="false" outlineLevel="0" collapsed="false">
      <c r="A66" s="21" t="str">
        <f aca="false">IF(B66="","","C"&amp;TEXT(ROW()-4,"000"))</f>
        <v/>
      </c>
      <c r="B66" s="22"/>
      <c r="C66" s="22"/>
      <c r="D66" s="22"/>
      <c r="E66" s="22"/>
      <c r="F66" s="22"/>
      <c r="G66" s="22"/>
      <c r="H66" s="23"/>
      <c r="I66" s="24" t="str">
        <f aca="false">IF(OR(B66="",G66=""),"",INDEX(Settings!$F$14:$F$21,MATCH(G66,Settings!$E$14:$E$21,0)))</f>
        <v/>
      </c>
      <c r="J66" s="25" t="str">
        <f aca="false">IF(OR(I66="",H66=""),"",H66*I66)</f>
        <v/>
      </c>
      <c r="K66" s="21" t="str">
        <f aca="false">IF(OR(B66="",G66=""),"",INDEX(Settings!$G$14:$G$21,MATCH(G66,Settings!$E$14:$E$21,0)))</f>
        <v/>
      </c>
      <c r="L66" s="26"/>
      <c r="M66" s="26"/>
      <c r="N66" s="22"/>
      <c r="O66" s="26"/>
      <c r="P66" s="27" t="str">
        <f aca="false">IF(OR(B66="",O66="",G66="Lost"),"",O66-Settings!$C$6)</f>
        <v/>
      </c>
      <c r="Q66" s="21" t="str">
        <f aca="false">IF(P66="","",IF(P66&lt;0,"Overdue",IF(P66&lt;=7,"Due this week","Upcoming")))</f>
        <v/>
      </c>
      <c r="R66" s="26"/>
      <c r="S66" s="28" t="str">
        <f aca="false">IF(AND(G66="7 · Past client",R66&lt;&gt;""),R66+90,"")</f>
        <v/>
      </c>
      <c r="T66" s="22"/>
      <c r="U66" s="29" t="n">
        <f aca="false">IF(P66="",0,1)</f>
        <v>0</v>
      </c>
      <c r="V66" s="29" t="str">
        <f aca="false">IF(U66=0,"",COUNTIFS($U$5:$U$154,1,$O$5:$O$154,"&lt;"&amp;O66)+COUNTIFS($U$5:$U66,1,$O$5:$O66,O66))</f>
        <v/>
      </c>
    </row>
    <row r="67" customFormat="false" ht="15" hidden="false" customHeight="false" outlineLevel="0" collapsed="false">
      <c r="A67" s="21" t="str">
        <f aca="false">IF(B67="","","C"&amp;TEXT(ROW()-4,"000"))</f>
        <v/>
      </c>
      <c r="B67" s="22"/>
      <c r="C67" s="22"/>
      <c r="D67" s="22"/>
      <c r="E67" s="22"/>
      <c r="F67" s="22"/>
      <c r="G67" s="22"/>
      <c r="H67" s="23"/>
      <c r="I67" s="24" t="str">
        <f aca="false">IF(OR(B67="",G67=""),"",INDEX(Settings!$F$14:$F$21,MATCH(G67,Settings!$E$14:$E$21,0)))</f>
        <v/>
      </c>
      <c r="J67" s="25" t="str">
        <f aca="false">IF(OR(I67="",H67=""),"",H67*I67)</f>
        <v/>
      </c>
      <c r="K67" s="21" t="str">
        <f aca="false">IF(OR(B67="",G67=""),"",INDEX(Settings!$G$14:$G$21,MATCH(G67,Settings!$E$14:$E$21,0)))</f>
        <v/>
      </c>
      <c r="L67" s="26"/>
      <c r="M67" s="26"/>
      <c r="N67" s="22"/>
      <c r="O67" s="26"/>
      <c r="P67" s="27" t="str">
        <f aca="false">IF(OR(B67="",O67="",G67="Lost"),"",O67-Settings!$C$6)</f>
        <v/>
      </c>
      <c r="Q67" s="21" t="str">
        <f aca="false">IF(P67="","",IF(P67&lt;0,"Overdue",IF(P67&lt;=7,"Due this week","Upcoming")))</f>
        <v/>
      </c>
      <c r="R67" s="26"/>
      <c r="S67" s="28" t="str">
        <f aca="false">IF(AND(G67="7 · Past client",R67&lt;&gt;""),R67+90,"")</f>
        <v/>
      </c>
      <c r="T67" s="22"/>
      <c r="U67" s="29" t="n">
        <f aca="false">IF(P67="",0,1)</f>
        <v>0</v>
      </c>
      <c r="V67" s="29" t="str">
        <f aca="false">IF(U67=0,"",COUNTIFS($U$5:$U$154,1,$O$5:$O$154,"&lt;"&amp;O67)+COUNTIFS($U$5:$U67,1,$O$5:$O67,O67))</f>
        <v/>
      </c>
    </row>
    <row r="68" customFormat="false" ht="15" hidden="false" customHeight="false" outlineLevel="0" collapsed="false">
      <c r="A68" s="21" t="str">
        <f aca="false">IF(B68="","","C"&amp;TEXT(ROW()-4,"000"))</f>
        <v/>
      </c>
      <c r="B68" s="22"/>
      <c r="C68" s="22"/>
      <c r="D68" s="22"/>
      <c r="E68" s="22"/>
      <c r="F68" s="22"/>
      <c r="G68" s="22"/>
      <c r="H68" s="23"/>
      <c r="I68" s="24" t="str">
        <f aca="false">IF(OR(B68="",G68=""),"",INDEX(Settings!$F$14:$F$21,MATCH(G68,Settings!$E$14:$E$21,0)))</f>
        <v/>
      </c>
      <c r="J68" s="25" t="str">
        <f aca="false">IF(OR(I68="",H68=""),"",H68*I68)</f>
        <v/>
      </c>
      <c r="K68" s="21" t="str">
        <f aca="false">IF(OR(B68="",G68=""),"",INDEX(Settings!$G$14:$G$21,MATCH(G68,Settings!$E$14:$E$21,0)))</f>
        <v/>
      </c>
      <c r="L68" s="26"/>
      <c r="M68" s="26"/>
      <c r="N68" s="22"/>
      <c r="O68" s="26"/>
      <c r="P68" s="27" t="str">
        <f aca="false">IF(OR(B68="",O68="",G68="Lost"),"",O68-Settings!$C$6)</f>
        <v/>
      </c>
      <c r="Q68" s="21" t="str">
        <f aca="false">IF(P68="","",IF(P68&lt;0,"Overdue",IF(P68&lt;=7,"Due this week","Upcoming")))</f>
        <v/>
      </c>
      <c r="R68" s="26"/>
      <c r="S68" s="28" t="str">
        <f aca="false">IF(AND(G68="7 · Past client",R68&lt;&gt;""),R68+90,"")</f>
        <v/>
      </c>
      <c r="T68" s="22"/>
      <c r="U68" s="29" t="n">
        <f aca="false">IF(P68="",0,1)</f>
        <v>0</v>
      </c>
      <c r="V68" s="29" t="str">
        <f aca="false">IF(U68=0,"",COUNTIFS($U$5:$U$154,1,$O$5:$O$154,"&lt;"&amp;O68)+COUNTIFS($U$5:$U68,1,$O$5:$O68,O68))</f>
        <v/>
      </c>
    </row>
    <row r="69" customFormat="false" ht="15" hidden="false" customHeight="false" outlineLevel="0" collapsed="false">
      <c r="A69" s="21" t="str">
        <f aca="false">IF(B69="","","C"&amp;TEXT(ROW()-4,"000"))</f>
        <v/>
      </c>
      <c r="B69" s="22"/>
      <c r="C69" s="22"/>
      <c r="D69" s="22"/>
      <c r="E69" s="22"/>
      <c r="F69" s="22"/>
      <c r="G69" s="22"/>
      <c r="H69" s="23"/>
      <c r="I69" s="24" t="str">
        <f aca="false">IF(OR(B69="",G69=""),"",INDEX(Settings!$F$14:$F$21,MATCH(G69,Settings!$E$14:$E$21,0)))</f>
        <v/>
      </c>
      <c r="J69" s="25" t="str">
        <f aca="false">IF(OR(I69="",H69=""),"",H69*I69)</f>
        <v/>
      </c>
      <c r="K69" s="21" t="str">
        <f aca="false">IF(OR(B69="",G69=""),"",INDEX(Settings!$G$14:$G$21,MATCH(G69,Settings!$E$14:$E$21,0)))</f>
        <v/>
      </c>
      <c r="L69" s="26"/>
      <c r="M69" s="26"/>
      <c r="N69" s="22"/>
      <c r="O69" s="26"/>
      <c r="P69" s="27" t="str">
        <f aca="false">IF(OR(B69="",O69="",G69="Lost"),"",O69-Settings!$C$6)</f>
        <v/>
      </c>
      <c r="Q69" s="21" t="str">
        <f aca="false">IF(P69="","",IF(P69&lt;0,"Overdue",IF(P69&lt;=7,"Due this week","Upcoming")))</f>
        <v/>
      </c>
      <c r="R69" s="26"/>
      <c r="S69" s="28" t="str">
        <f aca="false">IF(AND(G69="7 · Past client",R69&lt;&gt;""),R69+90,"")</f>
        <v/>
      </c>
      <c r="T69" s="22"/>
      <c r="U69" s="29" t="n">
        <f aca="false">IF(P69="",0,1)</f>
        <v>0</v>
      </c>
      <c r="V69" s="29" t="str">
        <f aca="false">IF(U69=0,"",COUNTIFS($U$5:$U$154,1,$O$5:$O$154,"&lt;"&amp;O69)+COUNTIFS($U$5:$U69,1,$O$5:$O69,O69))</f>
        <v/>
      </c>
    </row>
    <row r="70" customFormat="false" ht="15" hidden="false" customHeight="false" outlineLevel="0" collapsed="false">
      <c r="A70" s="21" t="str">
        <f aca="false">IF(B70="","","C"&amp;TEXT(ROW()-4,"000"))</f>
        <v/>
      </c>
      <c r="B70" s="22"/>
      <c r="C70" s="22"/>
      <c r="D70" s="22"/>
      <c r="E70" s="22"/>
      <c r="F70" s="22"/>
      <c r="G70" s="22"/>
      <c r="H70" s="23"/>
      <c r="I70" s="24" t="str">
        <f aca="false">IF(OR(B70="",G70=""),"",INDEX(Settings!$F$14:$F$21,MATCH(G70,Settings!$E$14:$E$21,0)))</f>
        <v/>
      </c>
      <c r="J70" s="25" t="str">
        <f aca="false">IF(OR(I70="",H70=""),"",H70*I70)</f>
        <v/>
      </c>
      <c r="K70" s="21" t="str">
        <f aca="false">IF(OR(B70="",G70=""),"",INDEX(Settings!$G$14:$G$21,MATCH(G70,Settings!$E$14:$E$21,0)))</f>
        <v/>
      </c>
      <c r="L70" s="26"/>
      <c r="M70" s="26"/>
      <c r="N70" s="22"/>
      <c r="O70" s="26"/>
      <c r="P70" s="27" t="str">
        <f aca="false">IF(OR(B70="",O70="",G70="Lost"),"",O70-Settings!$C$6)</f>
        <v/>
      </c>
      <c r="Q70" s="21" t="str">
        <f aca="false">IF(P70="","",IF(P70&lt;0,"Overdue",IF(P70&lt;=7,"Due this week","Upcoming")))</f>
        <v/>
      </c>
      <c r="R70" s="26"/>
      <c r="S70" s="28" t="str">
        <f aca="false">IF(AND(G70="7 · Past client",R70&lt;&gt;""),R70+90,"")</f>
        <v/>
      </c>
      <c r="T70" s="22"/>
      <c r="U70" s="29" t="n">
        <f aca="false">IF(P70="",0,1)</f>
        <v>0</v>
      </c>
      <c r="V70" s="29" t="str">
        <f aca="false">IF(U70=0,"",COUNTIFS($U$5:$U$154,1,$O$5:$O$154,"&lt;"&amp;O70)+COUNTIFS($U$5:$U70,1,$O$5:$O70,O70))</f>
        <v/>
      </c>
    </row>
    <row r="71" customFormat="false" ht="15" hidden="false" customHeight="false" outlineLevel="0" collapsed="false">
      <c r="A71" s="21" t="str">
        <f aca="false">IF(B71="","","C"&amp;TEXT(ROW()-4,"000"))</f>
        <v/>
      </c>
      <c r="B71" s="22"/>
      <c r="C71" s="22"/>
      <c r="D71" s="22"/>
      <c r="E71" s="22"/>
      <c r="F71" s="22"/>
      <c r="G71" s="22"/>
      <c r="H71" s="23"/>
      <c r="I71" s="24" t="str">
        <f aca="false">IF(OR(B71="",G71=""),"",INDEX(Settings!$F$14:$F$21,MATCH(G71,Settings!$E$14:$E$21,0)))</f>
        <v/>
      </c>
      <c r="J71" s="25" t="str">
        <f aca="false">IF(OR(I71="",H71=""),"",H71*I71)</f>
        <v/>
      </c>
      <c r="K71" s="21" t="str">
        <f aca="false">IF(OR(B71="",G71=""),"",INDEX(Settings!$G$14:$G$21,MATCH(G71,Settings!$E$14:$E$21,0)))</f>
        <v/>
      </c>
      <c r="L71" s="26"/>
      <c r="M71" s="26"/>
      <c r="N71" s="22"/>
      <c r="O71" s="26"/>
      <c r="P71" s="27" t="str">
        <f aca="false">IF(OR(B71="",O71="",G71="Lost"),"",O71-Settings!$C$6)</f>
        <v/>
      </c>
      <c r="Q71" s="21" t="str">
        <f aca="false">IF(P71="","",IF(P71&lt;0,"Overdue",IF(P71&lt;=7,"Due this week","Upcoming")))</f>
        <v/>
      </c>
      <c r="R71" s="26"/>
      <c r="S71" s="28" t="str">
        <f aca="false">IF(AND(G71="7 · Past client",R71&lt;&gt;""),R71+90,"")</f>
        <v/>
      </c>
      <c r="T71" s="22"/>
      <c r="U71" s="29" t="n">
        <f aca="false">IF(P71="",0,1)</f>
        <v>0</v>
      </c>
      <c r="V71" s="29" t="str">
        <f aca="false">IF(U71=0,"",COUNTIFS($U$5:$U$154,1,$O$5:$O$154,"&lt;"&amp;O71)+COUNTIFS($U$5:$U71,1,$O$5:$O71,O71))</f>
        <v/>
      </c>
    </row>
    <row r="72" customFormat="false" ht="15" hidden="false" customHeight="false" outlineLevel="0" collapsed="false">
      <c r="A72" s="21" t="str">
        <f aca="false">IF(B72="","","C"&amp;TEXT(ROW()-4,"000"))</f>
        <v/>
      </c>
      <c r="B72" s="22"/>
      <c r="C72" s="22"/>
      <c r="D72" s="22"/>
      <c r="E72" s="22"/>
      <c r="F72" s="22"/>
      <c r="G72" s="22"/>
      <c r="H72" s="23"/>
      <c r="I72" s="24" t="str">
        <f aca="false">IF(OR(B72="",G72=""),"",INDEX(Settings!$F$14:$F$21,MATCH(G72,Settings!$E$14:$E$21,0)))</f>
        <v/>
      </c>
      <c r="J72" s="25" t="str">
        <f aca="false">IF(OR(I72="",H72=""),"",H72*I72)</f>
        <v/>
      </c>
      <c r="K72" s="21" t="str">
        <f aca="false">IF(OR(B72="",G72=""),"",INDEX(Settings!$G$14:$G$21,MATCH(G72,Settings!$E$14:$E$21,0)))</f>
        <v/>
      </c>
      <c r="L72" s="26"/>
      <c r="M72" s="26"/>
      <c r="N72" s="22"/>
      <c r="O72" s="26"/>
      <c r="P72" s="27" t="str">
        <f aca="false">IF(OR(B72="",O72="",G72="Lost"),"",O72-Settings!$C$6)</f>
        <v/>
      </c>
      <c r="Q72" s="21" t="str">
        <f aca="false">IF(P72="","",IF(P72&lt;0,"Overdue",IF(P72&lt;=7,"Due this week","Upcoming")))</f>
        <v/>
      </c>
      <c r="R72" s="26"/>
      <c r="S72" s="28" t="str">
        <f aca="false">IF(AND(G72="7 · Past client",R72&lt;&gt;""),R72+90,"")</f>
        <v/>
      </c>
      <c r="T72" s="22"/>
      <c r="U72" s="29" t="n">
        <f aca="false">IF(P72="",0,1)</f>
        <v>0</v>
      </c>
      <c r="V72" s="29" t="str">
        <f aca="false">IF(U72=0,"",COUNTIFS($U$5:$U$154,1,$O$5:$O$154,"&lt;"&amp;O72)+COUNTIFS($U$5:$U72,1,$O$5:$O72,O72))</f>
        <v/>
      </c>
    </row>
    <row r="73" customFormat="false" ht="15" hidden="false" customHeight="false" outlineLevel="0" collapsed="false">
      <c r="A73" s="21" t="str">
        <f aca="false">IF(B73="","","C"&amp;TEXT(ROW()-4,"000"))</f>
        <v/>
      </c>
      <c r="B73" s="22"/>
      <c r="C73" s="22"/>
      <c r="D73" s="22"/>
      <c r="E73" s="22"/>
      <c r="F73" s="22"/>
      <c r="G73" s="22"/>
      <c r="H73" s="23"/>
      <c r="I73" s="24" t="str">
        <f aca="false">IF(OR(B73="",G73=""),"",INDEX(Settings!$F$14:$F$21,MATCH(G73,Settings!$E$14:$E$21,0)))</f>
        <v/>
      </c>
      <c r="J73" s="25" t="str">
        <f aca="false">IF(OR(I73="",H73=""),"",H73*I73)</f>
        <v/>
      </c>
      <c r="K73" s="21" t="str">
        <f aca="false">IF(OR(B73="",G73=""),"",INDEX(Settings!$G$14:$G$21,MATCH(G73,Settings!$E$14:$E$21,0)))</f>
        <v/>
      </c>
      <c r="L73" s="26"/>
      <c r="M73" s="26"/>
      <c r="N73" s="22"/>
      <c r="O73" s="26"/>
      <c r="P73" s="27" t="str">
        <f aca="false">IF(OR(B73="",O73="",G73="Lost"),"",O73-Settings!$C$6)</f>
        <v/>
      </c>
      <c r="Q73" s="21" t="str">
        <f aca="false">IF(P73="","",IF(P73&lt;0,"Overdue",IF(P73&lt;=7,"Due this week","Upcoming")))</f>
        <v/>
      </c>
      <c r="R73" s="26"/>
      <c r="S73" s="28" t="str">
        <f aca="false">IF(AND(G73="7 · Past client",R73&lt;&gt;""),R73+90,"")</f>
        <v/>
      </c>
      <c r="T73" s="22"/>
      <c r="U73" s="29" t="n">
        <f aca="false">IF(P73="",0,1)</f>
        <v>0</v>
      </c>
      <c r="V73" s="29" t="str">
        <f aca="false">IF(U73=0,"",COUNTIFS($U$5:$U$154,1,$O$5:$O$154,"&lt;"&amp;O73)+COUNTIFS($U$5:$U73,1,$O$5:$O73,O73))</f>
        <v/>
      </c>
    </row>
    <row r="74" customFormat="false" ht="15" hidden="false" customHeight="false" outlineLevel="0" collapsed="false">
      <c r="A74" s="21" t="str">
        <f aca="false">IF(B74="","","C"&amp;TEXT(ROW()-4,"000"))</f>
        <v/>
      </c>
      <c r="B74" s="22"/>
      <c r="C74" s="22"/>
      <c r="D74" s="22"/>
      <c r="E74" s="22"/>
      <c r="F74" s="22"/>
      <c r="G74" s="22"/>
      <c r="H74" s="23"/>
      <c r="I74" s="24" t="str">
        <f aca="false">IF(OR(B74="",G74=""),"",INDEX(Settings!$F$14:$F$21,MATCH(G74,Settings!$E$14:$E$21,0)))</f>
        <v/>
      </c>
      <c r="J74" s="25" t="str">
        <f aca="false">IF(OR(I74="",H74=""),"",H74*I74)</f>
        <v/>
      </c>
      <c r="K74" s="21" t="str">
        <f aca="false">IF(OR(B74="",G74=""),"",INDEX(Settings!$G$14:$G$21,MATCH(G74,Settings!$E$14:$E$21,0)))</f>
        <v/>
      </c>
      <c r="L74" s="26"/>
      <c r="M74" s="26"/>
      <c r="N74" s="22"/>
      <c r="O74" s="26"/>
      <c r="P74" s="27" t="str">
        <f aca="false">IF(OR(B74="",O74="",G74="Lost"),"",O74-Settings!$C$6)</f>
        <v/>
      </c>
      <c r="Q74" s="21" t="str">
        <f aca="false">IF(P74="","",IF(P74&lt;0,"Overdue",IF(P74&lt;=7,"Due this week","Upcoming")))</f>
        <v/>
      </c>
      <c r="R74" s="26"/>
      <c r="S74" s="28" t="str">
        <f aca="false">IF(AND(G74="7 · Past client",R74&lt;&gt;""),R74+90,"")</f>
        <v/>
      </c>
      <c r="T74" s="22"/>
      <c r="U74" s="29" t="n">
        <f aca="false">IF(P74="",0,1)</f>
        <v>0</v>
      </c>
      <c r="V74" s="29" t="str">
        <f aca="false">IF(U74=0,"",COUNTIFS($U$5:$U$154,1,$O$5:$O$154,"&lt;"&amp;O74)+COUNTIFS($U$5:$U74,1,$O$5:$O74,O74))</f>
        <v/>
      </c>
    </row>
    <row r="75" customFormat="false" ht="15" hidden="false" customHeight="false" outlineLevel="0" collapsed="false">
      <c r="A75" s="21" t="str">
        <f aca="false">IF(B75="","","C"&amp;TEXT(ROW()-4,"000"))</f>
        <v/>
      </c>
      <c r="B75" s="22"/>
      <c r="C75" s="22"/>
      <c r="D75" s="22"/>
      <c r="E75" s="22"/>
      <c r="F75" s="22"/>
      <c r="G75" s="22"/>
      <c r="H75" s="23"/>
      <c r="I75" s="24" t="str">
        <f aca="false">IF(OR(B75="",G75=""),"",INDEX(Settings!$F$14:$F$21,MATCH(G75,Settings!$E$14:$E$21,0)))</f>
        <v/>
      </c>
      <c r="J75" s="25" t="str">
        <f aca="false">IF(OR(I75="",H75=""),"",H75*I75)</f>
        <v/>
      </c>
      <c r="K75" s="21" t="str">
        <f aca="false">IF(OR(B75="",G75=""),"",INDEX(Settings!$G$14:$G$21,MATCH(G75,Settings!$E$14:$E$21,0)))</f>
        <v/>
      </c>
      <c r="L75" s="26"/>
      <c r="M75" s="26"/>
      <c r="N75" s="22"/>
      <c r="O75" s="26"/>
      <c r="P75" s="27" t="str">
        <f aca="false">IF(OR(B75="",O75="",G75="Lost"),"",O75-Settings!$C$6)</f>
        <v/>
      </c>
      <c r="Q75" s="21" t="str">
        <f aca="false">IF(P75="","",IF(P75&lt;0,"Overdue",IF(P75&lt;=7,"Due this week","Upcoming")))</f>
        <v/>
      </c>
      <c r="R75" s="26"/>
      <c r="S75" s="28" t="str">
        <f aca="false">IF(AND(G75="7 · Past client",R75&lt;&gt;""),R75+90,"")</f>
        <v/>
      </c>
      <c r="T75" s="22"/>
      <c r="U75" s="29" t="n">
        <f aca="false">IF(P75="",0,1)</f>
        <v>0</v>
      </c>
      <c r="V75" s="29" t="str">
        <f aca="false">IF(U75=0,"",COUNTIFS($U$5:$U$154,1,$O$5:$O$154,"&lt;"&amp;O75)+COUNTIFS($U$5:$U75,1,$O$5:$O75,O75))</f>
        <v/>
      </c>
    </row>
    <row r="76" customFormat="false" ht="15" hidden="false" customHeight="false" outlineLevel="0" collapsed="false">
      <c r="A76" s="21" t="str">
        <f aca="false">IF(B76="","","C"&amp;TEXT(ROW()-4,"000"))</f>
        <v/>
      </c>
      <c r="B76" s="22"/>
      <c r="C76" s="22"/>
      <c r="D76" s="22"/>
      <c r="E76" s="22"/>
      <c r="F76" s="22"/>
      <c r="G76" s="22"/>
      <c r="H76" s="23"/>
      <c r="I76" s="24" t="str">
        <f aca="false">IF(OR(B76="",G76=""),"",INDEX(Settings!$F$14:$F$21,MATCH(G76,Settings!$E$14:$E$21,0)))</f>
        <v/>
      </c>
      <c r="J76" s="25" t="str">
        <f aca="false">IF(OR(I76="",H76=""),"",H76*I76)</f>
        <v/>
      </c>
      <c r="K76" s="21" t="str">
        <f aca="false">IF(OR(B76="",G76=""),"",INDEX(Settings!$G$14:$G$21,MATCH(G76,Settings!$E$14:$E$21,0)))</f>
        <v/>
      </c>
      <c r="L76" s="26"/>
      <c r="M76" s="26"/>
      <c r="N76" s="22"/>
      <c r="O76" s="26"/>
      <c r="P76" s="27" t="str">
        <f aca="false">IF(OR(B76="",O76="",G76="Lost"),"",O76-Settings!$C$6)</f>
        <v/>
      </c>
      <c r="Q76" s="21" t="str">
        <f aca="false">IF(P76="","",IF(P76&lt;0,"Overdue",IF(P76&lt;=7,"Due this week","Upcoming")))</f>
        <v/>
      </c>
      <c r="R76" s="26"/>
      <c r="S76" s="28" t="str">
        <f aca="false">IF(AND(G76="7 · Past client",R76&lt;&gt;""),R76+90,"")</f>
        <v/>
      </c>
      <c r="T76" s="22"/>
      <c r="U76" s="29" t="n">
        <f aca="false">IF(P76="",0,1)</f>
        <v>0</v>
      </c>
      <c r="V76" s="29" t="str">
        <f aca="false">IF(U76=0,"",COUNTIFS($U$5:$U$154,1,$O$5:$O$154,"&lt;"&amp;O76)+COUNTIFS($U$5:$U76,1,$O$5:$O76,O76))</f>
        <v/>
      </c>
    </row>
    <row r="77" customFormat="false" ht="15" hidden="false" customHeight="false" outlineLevel="0" collapsed="false">
      <c r="A77" s="21" t="str">
        <f aca="false">IF(B77="","","C"&amp;TEXT(ROW()-4,"000"))</f>
        <v/>
      </c>
      <c r="B77" s="22"/>
      <c r="C77" s="22"/>
      <c r="D77" s="22"/>
      <c r="E77" s="22"/>
      <c r="F77" s="22"/>
      <c r="G77" s="22"/>
      <c r="H77" s="23"/>
      <c r="I77" s="24" t="str">
        <f aca="false">IF(OR(B77="",G77=""),"",INDEX(Settings!$F$14:$F$21,MATCH(G77,Settings!$E$14:$E$21,0)))</f>
        <v/>
      </c>
      <c r="J77" s="25" t="str">
        <f aca="false">IF(OR(I77="",H77=""),"",H77*I77)</f>
        <v/>
      </c>
      <c r="K77" s="21" t="str">
        <f aca="false">IF(OR(B77="",G77=""),"",INDEX(Settings!$G$14:$G$21,MATCH(G77,Settings!$E$14:$E$21,0)))</f>
        <v/>
      </c>
      <c r="L77" s="26"/>
      <c r="M77" s="26"/>
      <c r="N77" s="22"/>
      <c r="O77" s="26"/>
      <c r="P77" s="27" t="str">
        <f aca="false">IF(OR(B77="",O77="",G77="Lost"),"",O77-Settings!$C$6)</f>
        <v/>
      </c>
      <c r="Q77" s="21" t="str">
        <f aca="false">IF(P77="","",IF(P77&lt;0,"Overdue",IF(P77&lt;=7,"Due this week","Upcoming")))</f>
        <v/>
      </c>
      <c r="R77" s="26"/>
      <c r="S77" s="28" t="str">
        <f aca="false">IF(AND(G77="7 · Past client",R77&lt;&gt;""),R77+90,"")</f>
        <v/>
      </c>
      <c r="T77" s="22"/>
      <c r="U77" s="29" t="n">
        <f aca="false">IF(P77="",0,1)</f>
        <v>0</v>
      </c>
      <c r="V77" s="29" t="str">
        <f aca="false">IF(U77=0,"",COUNTIFS($U$5:$U$154,1,$O$5:$O$154,"&lt;"&amp;O77)+COUNTIFS($U$5:$U77,1,$O$5:$O77,O77))</f>
        <v/>
      </c>
    </row>
    <row r="78" customFormat="false" ht="15" hidden="false" customHeight="false" outlineLevel="0" collapsed="false">
      <c r="A78" s="21" t="str">
        <f aca="false">IF(B78="","","C"&amp;TEXT(ROW()-4,"000"))</f>
        <v/>
      </c>
      <c r="B78" s="22"/>
      <c r="C78" s="22"/>
      <c r="D78" s="22"/>
      <c r="E78" s="22"/>
      <c r="F78" s="22"/>
      <c r="G78" s="22"/>
      <c r="H78" s="23"/>
      <c r="I78" s="24" t="str">
        <f aca="false">IF(OR(B78="",G78=""),"",INDEX(Settings!$F$14:$F$21,MATCH(G78,Settings!$E$14:$E$21,0)))</f>
        <v/>
      </c>
      <c r="J78" s="25" t="str">
        <f aca="false">IF(OR(I78="",H78=""),"",H78*I78)</f>
        <v/>
      </c>
      <c r="K78" s="21" t="str">
        <f aca="false">IF(OR(B78="",G78=""),"",INDEX(Settings!$G$14:$G$21,MATCH(G78,Settings!$E$14:$E$21,0)))</f>
        <v/>
      </c>
      <c r="L78" s="26"/>
      <c r="M78" s="26"/>
      <c r="N78" s="22"/>
      <c r="O78" s="26"/>
      <c r="P78" s="27" t="str">
        <f aca="false">IF(OR(B78="",O78="",G78="Lost"),"",O78-Settings!$C$6)</f>
        <v/>
      </c>
      <c r="Q78" s="21" t="str">
        <f aca="false">IF(P78="","",IF(P78&lt;0,"Overdue",IF(P78&lt;=7,"Due this week","Upcoming")))</f>
        <v/>
      </c>
      <c r="R78" s="26"/>
      <c r="S78" s="28" t="str">
        <f aca="false">IF(AND(G78="7 · Past client",R78&lt;&gt;""),R78+90,"")</f>
        <v/>
      </c>
      <c r="T78" s="22"/>
      <c r="U78" s="29" t="n">
        <f aca="false">IF(P78="",0,1)</f>
        <v>0</v>
      </c>
      <c r="V78" s="29" t="str">
        <f aca="false">IF(U78=0,"",COUNTIFS($U$5:$U$154,1,$O$5:$O$154,"&lt;"&amp;O78)+COUNTIFS($U$5:$U78,1,$O$5:$O78,O78))</f>
        <v/>
      </c>
    </row>
    <row r="79" customFormat="false" ht="15" hidden="false" customHeight="false" outlineLevel="0" collapsed="false">
      <c r="A79" s="21" t="str">
        <f aca="false">IF(B79="","","C"&amp;TEXT(ROW()-4,"000"))</f>
        <v/>
      </c>
      <c r="B79" s="22"/>
      <c r="C79" s="22"/>
      <c r="D79" s="22"/>
      <c r="E79" s="22"/>
      <c r="F79" s="22"/>
      <c r="G79" s="22"/>
      <c r="H79" s="23"/>
      <c r="I79" s="24" t="str">
        <f aca="false">IF(OR(B79="",G79=""),"",INDEX(Settings!$F$14:$F$21,MATCH(G79,Settings!$E$14:$E$21,0)))</f>
        <v/>
      </c>
      <c r="J79" s="25" t="str">
        <f aca="false">IF(OR(I79="",H79=""),"",H79*I79)</f>
        <v/>
      </c>
      <c r="K79" s="21" t="str">
        <f aca="false">IF(OR(B79="",G79=""),"",INDEX(Settings!$G$14:$G$21,MATCH(G79,Settings!$E$14:$E$21,0)))</f>
        <v/>
      </c>
      <c r="L79" s="26"/>
      <c r="M79" s="26"/>
      <c r="N79" s="22"/>
      <c r="O79" s="26"/>
      <c r="P79" s="27" t="str">
        <f aca="false">IF(OR(B79="",O79="",G79="Lost"),"",O79-Settings!$C$6)</f>
        <v/>
      </c>
      <c r="Q79" s="21" t="str">
        <f aca="false">IF(P79="","",IF(P79&lt;0,"Overdue",IF(P79&lt;=7,"Due this week","Upcoming")))</f>
        <v/>
      </c>
      <c r="R79" s="26"/>
      <c r="S79" s="28" t="str">
        <f aca="false">IF(AND(G79="7 · Past client",R79&lt;&gt;""),R79+90,"")</f>
        <v/>
      </c>
      <c r="T79" s="22"/>
      <c r="U79" s="29" t="n">
        <f aca="false">IF(P79="",0,1)</f>
        <v>0</v>
      </c>
      <c r="V79" s="29" t="str">
        <f aca="false">IF(U79=0,"",COUNTIFS($U$5:$U$154,1,$O$5:$O$154,"&lt;"&amp;O79)+COUNTIFS($U$5:$U79,1,$O$5:$O79,O79))</f>
        <v/>
      </c>
    </row>
    <row r="80" customFormat="false" ht="15" hidden="false" customHeight="false" outlineLevel="0" collapsed="false">
      <c r="A80" s="21" t="str">
        <f aca="false">IF(B80="","","C"&amp;TEXT(ROW()-4,"000"))</f>
        <v/>
      </c>
      <c r="B80" s="22"/>
      <c r="C80" s="22"/>
      <c r="D80" s="22"/>
      <c r="E80" s="22"/>
      <c r="F80" s="22"/>
      <c r="G80" s="22"/>
      <c r="H80" s="23"/>
      <c r="I80" s="24" t="str">
        <f aca="false">IF(OR(B80="",G80=""),"",INDEX(Settings!$F$14:$F$21,MATCH(G80,Settings!$E$14:$E$21,0)))</f>
        <v/>
      </c>
      <c r="J80" s="25" t="str">
        <f aca="false">IF(OR(I80="",H80=""),"",H80*I80)</f>
        <v/>
      </c>
      <c r="K80" s="21" t="str">
        <f aca="false">IF(OR(B80="",G80=""),"",INDEX(Settings!$G$14:$G$21,MATCH(G80,Settings!$E$14:$E$21,0)))</f>
        <v/>
      </c>
      <c r="L80" s="26"/>
      <c r="M80" s="26"/>
      <c r="N80" s="22"/>
      <c r="O80" s="26"/>
      <c r="P80" s="27" t="str">
        <f aca="false">IF(OR(B80="",O80="",G80="Lost"),"",O80-Settings!$C$6)</f>
        <v/>
      </c>
      <c r="Q80" s="21" t="str">
        <f aca="false">IF(P80="","",IF(P80&lt;0,"Overdue",IF(P80&lt;=7,"Due this week","Upcoming")))</f>
        <v/>
      </c>
      <c r="R80" s="26"/>
      <c r="S80" s="28" t="str">
        <f aca="false">IF(AND(G80="7 · Past client",R80&lt;&gt;""),R80+90,"")</f>
        <v/>
      </c>
      <c r="T80" s="22"/>
      <c r="U80" s="29" t="n">
        <f aca="false">IF(P80="",0,1)</f>
        <v>0</v>
      </c>
      <c r="V80" s="29" t="str">
        <f aca="false">IF(U80=0,"",COUNTIFS($U$5:$U$154,1,$O$5:$O$154,"&lt;"&amp;O80)+COUNTIFS($U$5:$U80,1,$O$5:$O80,O80))</f>
        <v/>
      </c>
    </row>
    <row r="81" customFormat="false" ht="15" hidden="false" customHeight="false" outlineLevel="0" collapsed="false">
      <c r="A81" s="21" t="str">
        <f aca="false">IF(B81="","","C"&amp;TEXT(ROW()-4,"000"))</f>
        <v/>
      </c>
      <c r="B81" s="22"/>
      <c r="C81" s="22"/>
      <c r="D81" s="22"/>
      <c r="E81" s="22"/>
      <c r="F81" s="22"/>
      <c r="G81" s="22"/>
      <c r="H81" s="23"/>
      <c r="I81" s="24" t="str">
        <f aca="false">IF(OR(B81="",G81=""),"",INDEX(Settings!$F$14:$F$21,MATCH(G81,Settings!$E$14:$E$21,0)))</f>
        <v/>
      </c>
      <c r="J81" s="25" t="str">
        <f aca="false">IF(OR(I81="",H81=""),"",H81*I81)</f>
        <v/>
      </c>
      <c r="K81" s="21" t="str">
        <f aca="false">IF(OR(B81="",G81=""),"",INDEX(Settings!$G$14:$G$21,MATCH(G81,Settings!$E$14:$E$21,0)))</f>
        <v/>
      </c>
      <c r="L81" s="26"/>
      <c r="M81" s="26"/>
      <c r="N81" s="22"/>
      <c r="O81" s="26"/>
      <c r="P81" s="27" t="str">
        <f aca="false">IF(OR(B81="",O81="",G81="Lost"),"",O81-Settings!$C$6)</f>
        <v/>
      </c>
      <c r="Q81" s="21" t="str">
        <f aca="false">IF(P81="","",IF(P81&lt;0,"Overdue",IF(P81&lt;=7,"Due this week","Upcoming")))</f>
        <v/>
      </c>
      <c r="R81" s="26"/>
      <c r="S81" s="28" t="str">
        <f aca="false">IF(AND(G81="7 · Past client",R81&lt;&gt;""),R81+90,"")</f>
        <v/>
      </c>
      <c r="T81" s="22"/>
      <c r="U81" s="29" t="n">
        <f aca="false">IF(P81="",0,1)</f>
        <v>0</v>
      </c>
      <c r="V81" s="29" t="str">
        <f aca="false">IF(U81=0,"",COUNTIFS($U$5:$U$154,1,$O$5:$O$154,"&lt;"&amp;O81)+COUNTIFS($U$5:$U81,1,$O$5:$O81,O81))</f>
        <v/>
      </c>
    </row>
    <row r="82" customFormat="false" ht="15" hidden="false" customHeight="false" outlineLevel="0" collapsed="false">
      <c r="A82" s="21" t="str">
        <f aca="false">IF(B82="","","C"&amp;TEXT(ROW()-4,"000"))</f>
        <v/>
      </c>
      <c r="B82" s="22"/>
      <c r="C82" s="22"/>
      <c r="D82" s="22"/>
      <c r="E82" s="22"/>
      <c r="F82" s="22"/>
      <c r="G82" s="22"/>
      <c r="H82" s="23"/>
      <c r="I82" s="24" t="str">
        <f aca="false">IF(OR(B82="",G82=""),"",INDEX(Settings!$F$14:$F$21,MATCH(G82,Settings!$E$14:$E$21,0)))</f>
        <v/>
      </c>
      <c r="J82" s="25" t="str">
        <f aca="false">IF(OR(I82="",H82=""),"",H82*I82)</f>
        <v/>
      </c>
      <c r="K82" s="21" t="str">
        <f aca="false">IF(OR(B82="",G82=""),"",INDEX(Settings!$G$14:$G$21,MATCH(G82,Settings!$E$14:$E$21,0)))</f>
        <v/>
      </c>
      <c r="L82" s="26"/>
      <c r="M82" s="26"/>
      <c r="N82" s="22"/>
      <c r="O82" s="26"/>
      <c r="P82" s="27" t="str">
        <f aca="false">IF(OR(B82="",O82="",G82="Lost"),"",O82-Settings!$C$6)</f>
        <v/>
      </c>
      <c r="Q82" s="21" t="str">
        <f aca="false">IF(P82="","",IF(P82&lt;0,"Overdue",IF(P82&lt;=7,"Due this week","Upcoming")))</f>
        <v/>
      </c>
      <c r="R82" s="26"/>
      <c r="S82" s="28" t="str">
        <f aca="false">IF(AND(G82="7 · Past client",R82&lt;&gt;""),R82+90,"")</f>
        <v/>
      </c>
      <c r="T82" s="22"/>
      <c r="U82" s="29" t="n">
        <f aca="false">IF(P82="",0,1)</f>
        <v>0</v>
      </c>
      <c r="V82" s="29" t="str">
        <f aca="false">IF(U82=0,"",COUNTIFS($U$5:$U$154,1,$O$5:$O$154,"&lt;"&amp;O82)+COUNTIFS($U$5:$U82,1,$O$5:$O82,O82))</f>
        <v/>
      </c>
    </row>
    <row r="83" customFormat="false" ht="15" hidden="false" customHeight="false" outlineLevel="0" collapsed="false">
      <c r="A83" s="21" t="str">
        <f aca="false">IF(B83="","","C"&amp;TEXT(ROW()-4,"000"))</f>
        <v/>
      </c>
      <c r="B83" s="22"/>
      <c r="C83" s="22"/>
      <c r="D83" s="22"/>
      <c r="E83" s="22"/>
      <c r="F83" s="22"/>
      <c r="G83" s="22"/>
      <c r="H83" s="23"/>
      <c r="I83" s="24" t="str">
        <f aca="false">IF(OR(B83="",G83=""),"",INDEX(Settings!$F$14:$F$21,MATCH(G83,Settings!$E$14:$E$21,0)))</f>
        <v/>
      </c>
      <c r="J83" s="25" t="str">
        <f aca="false">IF(OR(I83="",H83=""),"",H83*I83)</f>
        <v/>
      </c>
      <c r="K83" s="21" t="str">
        <f aca="false">IF(OR(B83="",G83=""),"",INDEX(Settings!$G$14:$G$21,MATCH(G83,Settings!$E$14:$E$21,0)))</f>
        <v/>
      </c>
      <c r="L83" s="26"/>
      <c r="M83" s="26"/>
      <c r="N83" s="22"/>
      <c r="O83" s="26"/>
      <c r="P83" s="27" t="str">
        <f aca="false">IF(OR(B83="",O83="",G83="Lost"),"",O83-Settings!$C$6)</f>
        <v/>
      </c>
      <c r="Q83" s="21" t="str">
        <f aca="false">IF(P83="","",IF(P83&lt;0,"Overdue",IF(P83&lt;=7,"Due this week","Upcoming")))</f>
        <v/>
      </c>
      <c r="R83" s="26"/>
      <c r="S83" s="28" t="str">
        <f aca="false">IF(AND(G83="7 · Past client",R83&lt;&gt;""),R83+90,"")</f>
        <v/>
      </c>
      <c r="T83" s="22"/>
      <c r="U83" s="29" t="n">
        <f aca="false">IF(P83="",0,1)</f>
        <v>0</v>
      </c>
      <c r="V83" s="29" t="str">
        <f aca="false">IF(U83=0,"",COUNTIFS($U$5:$U$154,1,$O$5:$O$154,"&lt;"&amp;O83)+COUNTIFS($U$5:$U83,1,$O$5:$O83,O83))</f>
        <v/>
      </c>
    </row>
    <row r="84" customFormat="false" ht="15" hidden="false" customHeight="false" outlineLevel="0" collapsed="false">
      <c r="A84" s="21" t="str">
        <f aca="false">IF(B84="","","C"&amp;TEXT(ROW()-4,"000"))</f>
        <v/>
      </c>
      <c r="B84" s="22"/>
      <c r="C84" s="22"/>
      <c r="D84" s="22"/>
      <c r="E84" s="22"/>
      <c r="F84" s="22"/>
      <c r="G84" s="22"/>
      <c r="H84" s="23"/>
      <c r="I84" s="24" t="str">
        <f aca="false">IF(OR(B84="",G84=""),"",INDEX(Settings!$F$14:$F$21,MATCH(G84,Settings!$E$14:$E$21,0)))</f>
        <v/>
      </c>
      <c r="J84" s="25" t="str">
        <f aca="false">IF(OR(I84="",H84=""),"",H84*I84)</f>
        <v/>
      </c>
      <c r="K84" s="21" t="str">
        <f aca="false">IF(OR(B84="",G84=""),"",INDEX(Settings!$G$14:$G$21,MATCH(G84,Settings!$E$14:$E$21,0)))</f>
        <v/>
      </c>
      <c r="L84" s="26"/>
      <c r="M84" s="26"/>
      <c r="N84" s="22"/>
      <c r="O84" s="26"/>
      <c r="P84" s="27" t="str">
        <f aca="false">IF(OR(B84="",O84="",G84="Lost"),"",O84-Settings!$C$6)</f>
        <v/>
      </c>
      <c r="Q84" s="21" t="str">
        <f aca="false">IF(P84="","",IF(P84&lt;0,"Overdue",IF(P84&lt;=7,"Due this week","Upcoming")))</f>
        <v/>
      </c>
      <c r="R84" s="26"/>
      <c r="S84" s="28" t="str">
        <f aca="false">IF(AND(G84="7 · Past client",R84&lt;&gt;""),R84+90,"")</f>
        <v/>
      </c>
      <c r="T84" s="22"/>
      <c r="U84" s="29" t="n">
        <f aca="false">IF(P84="",0,1)</f>
        <v>0</v>
      </c>
      <c r="V84" s="29" t="str">
        <f aca="false">IF(U84=0,"",COUNTIFS($U$5:$U$154,1,$O$5:$O$154,"&lt;"&amp;O84)+COUNTIFS($U$5:$U84,1,$O$5:$O84,O84))</f>
        <v/>
      </c>
    </row>
    <row r="85" customFormat="false" ht="15" hidden="false" customHeight="false" outlineLevel="0" collapsed="false">
      <c r="A85" s="21" t="str">
        <f aca="false">IF(B85="","","C"&amp;TEXT(ROW()-4,"000"))</f>
        <v/>
      </c>
      <c r="B85" s="22"/>
      <c r="C85" s="22"/>
      <c r="D85" s="22"/>
      <c r="E85" s="22"/>
      <c r="F85" s="22"/>
      <c r="G85" s="22"/>
      <c r="H85" s="23"/>
      <c r="I85" s="24" t="str">
        <f aca="false">IF(OR(B85="",G85=""),"",INDEX(Settings!$F$14:$F$21,MATCH(G85,Settings!$E$14:$E$21,0)))</f>
        <v/>
      </c>
      <c r="J85" s="25" t="str">
        <f aca="false">IF(OR(I85="",H85=""),"",H85*I85)</f>
        <v/>
      </c>
      <c r="K85" s="21" t="str">
        <f aca="false">IF(OR(B85="",G85=""),"",INDEX(Settings!$G$14:$G$21,MATCH(G85,Settings!$E$14:$E$21,0)))</f>
        <v/>
      </c>
      <c r="L85" s="26"/>
      <c r="M85" s="26"/>
      <c r="N85" s="22"/>
      <c r="O85" s="26"/>
      <c r="P85" s="27" t="str">
        <f aca="false">IF(OR(B85="",O85="",G85="Lost"),"",O85-Settings!$C$6)</f>
        <v/>
      </c>
      <c r="Q85" s="21" t="str">
        <f aca="false">IF(P85="","",IF(P85&lt;0,"Overdue",IF(P85&lt;=7,"Due this week","Upcoming")))</f>
        <v/>
      </c>
      <c r="R85" s="26"/>
      <c r="S85" s="28" t="str">
        <f aca="false">IF(AND(G85="7 · Past client",R85&lt;&gt;""),R85+90,"")</f>
        <v/>
      </c>
      <c r="T85" s="22"/>
      <c r="U85" s="29" t="n">
        <f aca="false">IF(P85="",0,1)</f>
        <v>0</v>
      </c>
      <c r="V85" s="29" t="str">
        <f aca="false">IF(U85=0,"",COUNTIFS($U$5:$U$154,1,$O$5:$O$154,"&lt;"&amp;O85)+COUNTIFS($U$5:$U85,1,$O$5:$O85,O85))</f>
        <v/>
      </c>
    </row>
    <row r="86" customFormat="false" ht="15" hidden="false" customHeight="false" outlineLevel="0" collapsed="false">
      <c r="A86" s="21" t="str">
        <f aca="false">IF(B86="","","C"&amp;TEXT(ROW()-4,"000"))</f>
        <v/>
      </c>
      <c r="B86" s="22"/>
      <c r="C86" s="22"/>
      <c r="D86" s="22"/>
      <c r="E86" s="22"/>
      <c r="F86" s="22"/>
      <c r="G86" s="22"/>
      <c r="H86" s="23"/>
      <c r="I86" s="24" t="str">
        <f aca="false">IF(OR(B86="",G86=""),"",INDEX(Settings!$F$14:$F$21,MATCH(G86,Settings!$E$14:$E$21,0)))</f>
        <v/>
      </c>
      <c r="J86" s="25" t="str">
        <f aca="false">IF(OR(I86="",H86=""),"",H86*I86)</f>
        <v/>
      </c>
      <c r="K86" s="21" t="str">
        <f aca="false">IF(OR(B86="",G86=""),"",INDEX(Settings!$G$14:$G$21,MATCH(G86,Settings!$E$14:$E$21,0)))</f>
        <v/>
      </c>
      <c r="L86" s="26"/>
      <c r="M86" s="26"/>
      <c r="N86" s="22"/>
      <c r="O86" s="26"/>
      <c r="P86" s="27" t="str">
        <f aca="false">IF(OR(B86="",O86="",G86="Lost"),"",O86-Settings!$C$6)</f>
        <v/>
      </c>
      <c r="Q86" s="21" t="str">
        <f aca="false">IF(P86="","",IF(P86&lt;0,"Overdue",IF(P86&lt;=7,"Due this week","Upcoming")))</f>
        <v/>
      </c>
      <c r="R86" s="26"/>
      <c r="S86" s="28" t="str">
        <f aca="false">IF(AND(G86="7 · Past client",R86&lt;&gt;""),R86+90,"")</f>
        <v/>
      </c>
      <c r="T86" s="22"/>
      <c r="U86" s="29" t="n">
        <f aca="false">IF(P86="",0,1)</f>
        <v>0</v>
      </c>
      <c r="V86" s="29" t="str">
        <f aca="false">IF(U86=0,"",COUNTIFS($U$5:$U$154,1,$O$5:$O$154,"&lt;"&amp;O86)+COUNTIFS($U$5:$U86,1,$O$5:$O86,O86))</f>
        <v/>
      </c>
    </row>
    <row r="87" customFormat="false" ht="15" hidden="false" customHeight="false" outlineLevel="0" collapsed="false">
      <c r="A87" s="21" t="str">
        <f aca="false">IF(B87="","","C"&amp;TEXT(ROW()-4,"000"))</f>
        <v/>
      </c>
      <c r="B87" s="22"/>
      <c r="C87" s="22"/>
      <c r="D87" s="22"/>
      <c r="E87" s="22"/>
      <c r="F87" s="22"/>
      <c r="G87" s="22"/>
      <c r="H87" s="23"/>
      <c r="I87" s="24" t="str">
        <f aca="false">IF(OR(B87="",G87=""),"",INDEX(Settings!$F$14:$F$21,MATCH(G87,Settings!$E$14:$E$21,0)))</f>
        <v/>
      </c>
      <c r="J87" s="25" t="str">
        <f aca="false">IF(OR(I87="",H87=""),"",H87*I87)</f>
        <v/>
      </c>
      <c r="K87" s="21" t="str">
        <f aca="false">IF(OR(B87="",G87=""),"",INDEX(Settings!$G$14:$G$21,MATCH(G87,Settings!$E$14:$E$21,0)))</f>
        <v/>
      </c>
      <c r="L87" s="26"/>
      <c r="M87" s="26"/>
      <c r="N87" s="22"/>
      <c r="O87" s="26"/>
      <c r="P87" s="27" t="str">
        <f aca="false">IF(OR(B87="",O87="",G87="Lost"),"",O87-Settings!$C$6)</f>
        <v/>
      </c>
      <c r="Q87" s="21" t="str">
        <f aca="false">IF(P87="","",IF(P87&lt;0,"Overdue",IF(P87&lt;=7,"Due this week","Upcoming")))</f>
        <v/>
      </c>
      <c r="R87" s="26"/>
      <c r="S87" s="28" t="str">
        <f aca="false">IF(AND(G87="7 · Past client",R87&lt;&gt;""),R87+90,"")</f>
        <v/>
      </c>
      <c r="T87" s="22"/>
      <c r="U87" s="29" t="n">
        <f aca="false">IF(P87="",0,1)</f>
        <v>0</v>
      </c>
      <c r="V87" s="29" t="str">
        <f aca="false">IF(U87=0,"",COUNTIFS($U$5:$U$154,1,$O$5:$O$154,"&lt;"&amp;O87)+COUNTIFS($U$5:$U87,1,$O$5:$O87,O87))</f>
        <v/>
      </c>
    </row>
    <row r="88" customFormat="false" ht="15" hidden="false" customHeight="false" outlineLevel="0" collapsed="false">
      <c r="A88" s="21" t="str">
        <f aca="false">IF(B88="","","C"&amp;TEXT(ROW()-4,"000"))</f>
        <v/>
      </c>
      <c r="B88" s="22"/>
      <c r="C88" s="22"/>
      <c r="D88" s="22"/>
      <c r="E88" s="22"/>
      <c r="F88" s="22"/>
      <c r="G88" s="22"/>
      <c r="H88" s="23"/>
      <c r="I88" s="24" t="str">
        <f aca="false">IF(OR(B88="",G88=""),"",INDEX(Settings!$F$14:$F$21,MATCH(G88,Settings!$E$14:$E$21,0)))</f>
        <v/>
      </c>
      <c r="J88" s="25" t="str">
        <f aca="false">IF(OR(I88="",H88=""),"",H88*I88)</f>
        <v/>
      </c>
      <c r="K88" s="21" t="str">
        <f aca="false">IF(OR(B88="",G88=""),"",INDEX(Settings!$G$14:$G$21,MATCH(G88,Settings!$E$14:$E$21,0)))</f>
        <v/>
      </c>
      <c r="L88" s="26"/>
      <c r="M88" s="26"/>
      <c r="N88" s="22"/>
      <c r="O88" s="26"/>
      <c r="P88" s="27" t="str">
        <f aca="false">IF(OR(B88="",O88="",G88="Lost"),"",O88-Settings!$C$6)</f>
        <v/>
      </c>
      <c r="Q88" s="21" t="str">
        <f aca="false">IF(P88="","",IF(P88&lt;0,"Overdue",IF(P88&lt;=7,"Due this week","Upcoming")))</f>
        <v/>
      </c>
      <c r="R88" s="26"/>
      <c r="S88" s="28" t="str">
        <f aca="false">IF(AND(G88="7 · Past client",R88&lt;&gt;""),R88+90,"")</f>
        <v/>
      </c>
      <c r="T88" s="22"/>
      <c r="U88" s="29" t="n">
        <f aca="false">IF(P88="",0,1)</f>
        <v>0</v>
      </c>
      <c r="V88" s="29" t="str">
        <f aca="false">IF(U88=0,"",COUNTIFS($U$5:$U$154,1,$O$5:$O$154,"&lt;"&amp;O88)+COUNTIFS($U$5:$U88,1,$O$5:$O88,O88))</f>
        <v/>
      </c>
    </row>
    <row r="89" customFormat="false" ht="15" hidden="false" customHeight="false" outlineLevel="0" collapsed="false">
      <c r="A89" s="21" t="str">
        <f aca="false">IF(B89="","","C"&amp;TEXT(ROW()-4,"000"))</f>
        <v/>
      </c>
      <c r="B89" s="22"/>
      <c r="C89" s="22"/>
      <c r="D89" s="22"/>
      <c r="E89" s="22"/>
      <c r="F89" s="22"/>
      <c r="G89" s="22"/>
      <c r="H89" s="23"/>
      <c r="I89" s="24" t="str">
        <f aca="false">IF(OR(B89="",G89=""),"",INDEX(Settings!$F$14:$F$21,MATCH(G89,Settings!$E$14:$E$21,0)))</f>
        <v/>
      </c>
      <c r="J89" s="25" t="str">
        <f aca="false">IF(OR(I89="",H89=""),"",H89*I89)</f>
        <v/>
      </c>
      <c r="K89" s="21" t="str">
        <f aca="false">IF(OR(B89="",G89=""),"",INDEX(Settings!$G$14:$G$21,MATCH(G89,Settings!$E$14:$E$21,0)))</f>
        <v/>
      </c>
      <c r="L89" s="26"/>
      <c r="M89" s="26"/>
      <c r="N89" s="22"/>
      <c r="O89" s="26"/>
      <c r="P89" s="27" t="str">
        <f aca="false">IF(OR(B89="",O89="",G89="Lost"),"",O89-Settings!$C$6)</f>
        <v/>
      </c>
      <c r="Q89" s="21" t="str">
        <f aca="false">IF(P89="","",IF(P89&lt;0,"Overdue",IF(P89&lt;=7,"Due this week","Upcoming")))</f>
        <v/>
      </c>
      <c r="R89" s="26"/>
      <c r="S89" s="28" t="str">
        <f aca="false">IF(AND(G89="7 · Past client",R89&lt;&gt;""),R89+90,"")</f>
        <v/>
      </c>
      <c r="T89" s="22"/>
      <c r="U89" s="29" t="n">
        <f aca="false">IF(P89="",0,1)</f>
        <v>0</v>
      </c>
      <c r="V89" s="29" t="str">
        <f aca="false">IF(U89=0,"",COUNTIFS($U$5:$U$154,1,$O$5:$O$154,"&lt;"&amp;O89)+COUNTIFS($U$5:$U89,1,$O$5:$O89,O89))</f>
        <v/>
      </c>
    </row>
    <row r="90" customFormat="false" ht="15" hidden="false" customHeight="false" outlineLevel="0" collapsed="false">
      <c r="A90" s="21" t="str">
        <f aca="false">IF(B90="","","C"&amp;TEXT(ROW()-4,"000"))</f>
        <v/>
      </c>
      <c r="B90" s="22"/>
      <c r="C90" s="22"/>
      <c r="D90" s="22"/>
      <c r="E90" s="22"/>
      <c r="F90" s="22"/>
      <c r="G90" s="22"/>
      <c r="H90" s="23"/>
      <c r="I90" s="24" t="str">
        <f aca="false">IF(OR(B90="",G90=""),"",INDEX(Settings!$F$14:$F$21,MATCH(G90,Settings!$E$14:$E$21,0)))</f>
        <v/>
      </c>
      <c r="J90" s="25" t="str">
        <f aca="false">IF(OR(I90="",H90=""),"",H90*I90)</f>
        <v/>
      </c>
      <c r="K90" s="21" t="str">
        <f aca="false">IF(OR(B90="",G90=""),"",INDEX(Settings!$G$14:$G$21,MATCH(G90,Settings!$E$14:$E$21,0)))</f>
        <v/>
      </c>
      <c r="L90" s="26"/>
      <c r="M90" s="26"/>
      <c r="N90" s="22"/>
      <c r="O90" s="26"/>
      <c r="P90" s="27" t="str">
        <f aca="false">IF(OR(B90="",O90="",G90="Lost"),"",O90-Settings!$C$6)</f>
        <v/>
      </c>
      <c r="Q90" s="21" t="str">
        <f aca="false">IF(P90="","",IF(P90&lt;0,"Overdue",IF(P90&lt;=7,"Due this week","Upcoming")))</f>
        <v/>
      </c>
      <c r="R90" s="26"/>
      <c r="S90" s="28" t="str">
        <f aca="false">IF(AND(G90="7 · Past client",R90&lt;&gt;""),R90+90,"")</f>
        <v/>
      </c>
      <c r="T90" s="22"/>
      <c r="U90" s="29" t="n">
        <f aca="false">IF(P90="",0,1)</f>
        <v>0</v>
      </c>
      <c r="V90" s="29" t="str">
        <f aca="false">IF(U90=0,"",COUNTIFS($U$5:$U$154,1,$O$5:$O$154,"&lt;"&amp;O90)+COUNTIFS($U$5:$U90,1,$O$5:$O90,O90))</f>
        <v/>
      </c>
    </row>
    <row r="91" customFormat="false" ht="15" hidden="false" customHeight="false" outlineLevel="0" collapsed="false">
      <c r="A91" s="21" t="str">
        <f aca="false">IF(B91="","","C"&amp;TEXT(ROW()-4,"000"))</f>
        <v/>
      </c>
      <c r="B91" s="22"/>
      <c r="C91" s="22"/>
      <c r="D91" s="22"/>
      <c r="E91" s="22"/>
      <c r="F91" s="22"/>
      <c r="G91" s="22"/>
      <c r="H91" s="23"/>
      <c r="I91" s="24" t="str">
        <f aca="false">IF(OR(B91="",G91=""),"",INDEX(Settings!$F$14:$F$21,MATCH(G91,Settings!$E$14:$E$21,0)))</f>
        <v/>
      </c>
      <c r="J91" s="25" t="str">
        <f aca="false">IF(OR(I91="",H91=""),"",H91*I91)</f>
        <v/>
      </c>
      <c r="K91" s="21" t="str">
        <f aca="false">IF(OR(B91="",G91=""),"",INDEX(Settings!$G$14:$G$21,MATCH(G91,Settings!$E$14:$E$21,0)))</f>
        <v/>
      </c>
      <c r="L91" s="26"/>
      <c r="M91" s="26"/>
      <c r="N91" s="22"/>
      <c r="O91" s="26"/>
      <c r="P91" s="27" t="str">
        <f aca="false">IF(OR(B91="",O91="",G91="Lost"),"",O91-Settings!$C$6)</f>
        <v/>
      </c>
      <c r="Q91" s="21" t="str">
        <f aca="false">IF(P91="","",IF(P91&lt;0,"Overdue",IF(P91&lt;=7,"Due this week","Upcoming")))</f>
        <v/>
      </c>
      <c r="R91" s="26"/>
      <c r="S91" s="28" t="str">
        <f aca="false">IF(AND(G91="7 · Past client",R91&lt;&gt;""),R91+90,"")</f>
        <v/>
      </c>
      <c r="T91" s="22"/>
      <c r="U91" s="29" t="n">
        <f aca="false">IF(P91="",0,1)</f>
        <v>0</v>
      </c>
      <c r="V91" s="29" t="str">
        <f aca="false">IF(U91=0,"",COUNTIFS($U$5:$U$154,1,$O$5:$O$154,"&lt;"&amp;O91)+COUNTIFS($U$5:$U91,1,$O$5:$O91,O91))</f>
        <v/>
      </c>
    </row>
    <row r="92" customFormat="false" ht="15" hidden="false" customHeight="false" outlineLevel="0" collapsed="false">
      <c r="A92" s="21" t="str">
        <f aca="false">IF(B92="","","C"&amp;TEXT(ROW()-4,"000"))</f>
        <v/>
      </c>
      <c r="B92" s="22"/>
      <c r="C92" s="22"/>
      <c r="D92" s="22"/>
      <c r="E92" s="22"/>
      <c r="F92" s="22"/>
      <c r="G92" s="22"/>
      <c r="H92" s="23"/>
      <c r="I92" s="24" t="str">
        <f aca="false">IF(OR(B92="",G92=""),"",INDEX(Settings!$F$14:$F$21,MATCH(G92,Settings!$E$14:$E$21,0)))</f>
        <v/>
      </c>
      <c r="J92" s="25" t="str">
        <f aca="false">IF(OR(I92="",H92=""),"",H92*I92)</f>
        <v/>
      </c>
      <c r="K92" s="21" t="str">
        <f aca="false">IF(OR(B92="",G92=""),"",INDEX(Settings!$G$14:$G$21,MATCH(G92,Settings!$E$14:$E$21,0)))</f>
        <v/>
      </c>
      <c r="L92" s="26"/>
      <c r="M92" s="26"/>
      <c r="N92" s="22"/>
      <c r="O92" s="26"/>
      <c r="P92" s="27" t="str">
        <f aca="false">IF(OR(B92="",O92="",G92="Lost"),"",O92-Settings!$C$6)</f>
        <v/>
      </c>
      <c r="Q92" s="21" t="str">
        <f aca="false">IF(P92="","",IF(P92&lt;0,"Overdue",IF(P92&lt;=7,"Due this week","Upcoming")))</f>
        <v/>
      </c>
      <c r="R92" s="26"/>
      <c r="S92" s="28" t="str">
        <f aca="false">IF(AND(G92="7 · Past client",R92&lt;&gt;""),R92+90,"")</f>
        <v/>
      </c>
      <c r="T92" s="22"/>
      <c r="U92" s="29" t="n">
        <f aca="false">IF(P92="",0,1)</f>
        <v>0</v>
      </c>
      <c r="V92" s="29" t="str">
        <f aca="false">IF(U92=0,"",COUNTIFS($U$5:$U$154,1,$O$5:$O$154,"&lt;"&amp;O92)+COUNTIFS($U$5:$U92,1,$O$5:$O92,O92))</f>
        <v/>
      </c>
    </row>
    <row r="93" customFormat="false" ht="15" hidden="false" customHeight="false" outlineLevel="0" collapsed="false">
      <c r="A93" s="21" t="str">
        <f aca="false">IF(B93="","","C"&amp;TEXT(ROW()-4,"000"))</f>
        <v/>
      </c>
      <c r="B93" s="22"/>
      <c r="C93" s="22"/>
      <c r="D93" s="22"/>
      <c r="E93" s="22"/>
      <c r="F93" s="22"/>
      <c r="G93" s="22"/>
      <c r="H93" s="23"/>
      <c r="I93" s="24" t="str">
        <f aca="false">IF(OR(B93="",G93=""),"",INDEX(Settings!$F$14:$F$21,MATCH(G93,Settings!$E$14:$E$21,0)))</f>
        <v/>
      </c>
      <c r="J93" s="25" t="str">
        <f aca="false">IF(OR(I93="",H93=""),"",H93*I93)</f>
        <v/>
      </c>
      <c r="K93" s="21" t="str">
        <f aca="false">IF(OR(B93="",G93=""),"",INDEX(Settings!$G$14:$G$21,MATCH(G93,Settings!$E$14:$E$21,0)))</f>
        <v/>
      </c>
      <c r="L93" s="26"/>
      <c r="M93" s="26"/>
      <c r="N93" s="22"/>
      <c r="O93" s="26"/>
      <c r="P93" s="27" t="str">
        <f aca="false">IF(OR(B93="",O93="",G93="Lost"),"",O93-Settings!$C$6)</f>
        <v/>
      </c>
      <c r="Q93" s="21" t="str">
        <f aca="false">IF(P93="","",IF(P93&lt;0,"Overdue",IF(P93&lt;=7,"Due this week","Upcoming")))</f>
        <v/>
      </c>
      <c r="R93" s="26"/>
      <c r="S93" s="28" t="str">
        <f aca="false">IF(AND(G93="7 · Past client",R93&lt;&gt;""),R93+90,"")</f>
        <v/>
      </c>
      <c r="T93" s="22"/>
      <c r="U93" s="29" t="n">
        <f aca="false">IF(P93="",0,1)</f>
        <v>0</v>
      </c>
      <c r="V93" s="29" t="str">
        <f aca="false">IF(U93=0,"",COUNTIFS($U$5:$U$154,1,$O$5:$O$154,"&lt;"&amp;O93)+COUNTIFS($U$5:$U93,1,$O$5:$O93,O93))</f>
        <v/>
      </c>
    </row>
    <row r="94" customFormat="false" ht="15" hidden="false" customHeight="false" outlineLevel="0" collapsed="false">
      <c r="A94" s="21" t="str">
        <f aca="false">IF(B94="","","C"&amp;TEXT(ROW()-4,"000"))</f>
        <v/>
      </c>
      <c r="B94" s="22"/>
      <c r="C94" s="22"/>
      <c r="D94" s="22"/>
      <c r="E94" s="22"/>
      <c r="F94" s="22"/>
      <c r="G94" s="22"/>
      <c r="H94" s="23"/>
      <c r="I94" s="24" t="str">
        <f aca="false">IF(OR(B94="",G94=""),"",INDEX(Settings!$F$14:$F$21,MATCH(G94,Settings!$E$14:$E$21,0)))</f>
        <v/>
      </c>
      <c r="J94" s="25" t="str">
        <f aca="false">IF(OR(I94="",H94=""),"",H94*I94)</f>
        <v/>
      </c>
      <c r="K94" s="21" t="str">
        <f aca="false">IF(OR(B94="",G94=""),"",INDEX(Settings!$G$14:$G$21,MATCH(G94,Settings!$E$14:$E$21,0)))</f>
        <v/>
      </c>
      <c r="L94" s="26"/>
      <c r="M94" s="26"/>
      <c r="N94" s="22"/>
      <c r="O94" s="26"/>
      <c r="P94" s="27" t="str">
        <f aca="false">IF(OR(B94="",O94="",G94="Lost"),"",O94-Settings!$C$6)</f>
        <v/>
      </c>
      <c r="Q94" s="21" t="str">
        <f aca="false">IF(P94="","",IF(P94&lt;0,"Overdue",IF(P94&lt;=7,"Due this week","Upcoming")))</f>
        <v/>
      </c>
      <c r="R94" s="26"/>
      <c r="S94" s="28" t="str">
        <f aca="false">IF(AND(G94="7 · Past client",R94&lt;&gt;""),R94+90,"")</f>
        <v/>
      </c>
      <c r="T94" s="22"/>
      <c r="U94" s="29" t="n">
        <f aca="false">IF(P94="",0,1)</f>
        <v>0</v>
      </c>
      <c r="V94" s="29" t="str">
        <f aca="false">IF(U94=0,"",COUNTIFS($U$5:$U$154,1,$O$5:$O$154,"&lt;"&amp;O94)+COUNTIFS($U$5:$U94,1,$O$5:$O94,O94))</f>
        <v/>
      </c>
    </row>
    <row r="95" customFormat="false" ht="15" hidden="false" customHeight="false" outlineLevel="0" collapsed="false">
      <c r="A95" s="21" t="str">
        <f aca="false">IF(B95="","","C"&amp;TEXT(ROW()-4,"000"))</f>
        <v/>
      </c>
      <c r="B95" s="22"/>
      <c r="C95" s="22"/>
      <c r="D95" s="22"/>
      <c r="E95" s="22"/>
      <c r="F95" s="22"/>
      <c r="G95" s="22"/>
      <c r="H95" s="23"/>
      <c r="I95" s="24" t="str">
        <f aca="false">IF(OR(B95="",G95=""),"",INDEX(Settings!$F$14:$F$21,MATCH(G95,Settings!$E$14:$E$21,0)))</f>
        <v/>
      </c>
      <c r="J95" s="25" t="str">
        <f aca="false">IF(OR(I95="",H95=""),"",H95*I95)</f>
        <v/>
      </c>
      <c r="K95" s="21" t="str">
        <f aca="false">IF(OR(B95="",G95=""),"",INDEX(Settings!$G$14:$G$21,MATCH(G95,Settings!$E$14:$E$21,0)))</f>
        <v/>
      </c>
      <c r="L95" s="26"/>
      <c r="M95" s="26"/>
      <c r="N95" s="22"/>
      <c r="O95" s="26"/>
      <c r="P95" s="27" t="str">
        <f aca="false">IF(OR(B95="",O95="",G95="Lost"),"",O95-Settings!$C$6)</f>
        <v/>
      </c>
      <c r="Q95" s="21" t="str">
        <f aca="false">IF(P95="","",IF(P95&lt;0,"Overdue",IF(P95&lt;=7,"Due this week","Upcoming")))</f>
        <v/>
      </c>
      <c r="R95" s="26"/>
      <c r="S95" s="28" t="str">
        <f aca="false">IF(AND(G95="7 · Past client",R95&lt;&gt;""),R95+90,"")</f>
        <v/>
      </c>
      <c r="T95" s="22"/>
      <c r="U95" s="29" t="n">
        <f aca="false">IF(P95="",0,1)</f>
        <v>0</v>
      </c>
      <c r="V95" s="29" t="str">
        <f aca="false">IF(U95=0,"",COUNTIFS($U$5:$U$154,1,$O$5:$O$154,"&lt;"&amp;O95)+COUNTIFS($U$5:$U95,1,$O$5:$O95,O95))</f>
        <v/>
      </c>
    </row>
    <row r="96" customFormat="false" ht="15" hidden="false" customHeight="false" outlineLevel="0" collapsed="false">
      <c r="A96" s="21" t="str">
        <f aca="false">IF(B96="","","C"&amp;TEXT(ROW()-4,"000"))</f>
        <v/>
      </c>
      <c r="B96" s="22"/>
      <c r="C96" s="22"/>
      <c r="D96" s="22"/>
      <c r="E96" s="22"/>
      <c r="F96" s="22"/>
      <c r="G96" s="22"/>
      <c r="H96" s="23"/>
      <c r="I96" s="24" t="str">
        <f aca="false">IF(OR(B96="",G96=""),"",INDEX(Settings!$F$14:$F$21,MATCH(G96,Settings!$E$14:$E$21,0)))</f>
        <v/>
      </c>
      <c r="J96" s="25" t="str">
        <f aca="false">IF(OR(I96="",H96=""),"",H96*I96)</f>
        <v/>
      </c>
      <c r="K96" s="21" t="str">
        <f aca="false">IF(OR(B96="",G96=""),"",INDEX(Settings!$G$14:$G$21,MATCH(G96,Settings!$E$14:$E$21,0)))</f>
        <v/>
      </c>
      <c r="L96" s="26"/>
      <c r="M96" s="26"/>
      <c r="N96" s="22"/>
      <c r="O96" s="26"/>
      <c r="P96" s="27" t="str">
        <f aca="false">IF(OR(B96="",O96="",G96="Lost"),"",O96-Settings!$C$6)</f>
        <v/>
      </c>
      <c r="Q96" s="21" t="str">
        <f aca="false">IF(P96="","",IF(P96&lt;0,"Overdue",IF(P96&lt;=7,"Due this week","Upcoming")))</f>
        <v/>
      </c>
      <c r="R96" s="26"/>
      <c r="S96" s="28" t="str">
        <f aca="false">IF(AND(G96="7 · Past client",R96&lt;&gt;""),R96+90,"")</f>
        <v/>
      </c>
      <c r="T96" s="22"/>
      <c r="U96" s="29" t="n">
        <f aca="false">IF(P96="",0,1)</f>
        <v>0</v>
      </c>
      <c r="V96" s="29" t="str">
        <f aca="false">IF(U96=0,"",COUNTIFS($U$5:$U$154,1,$O$5:$O$154,"&lt;"&amp;O96)+COUNTIFS($U$5:$U96,1,$O$5:$O96,O96))</f>
        <v/>
      </c>
    </row>
    <row r="97" customFormat="false" ht="15" hidden="false" customHeight="false" outlineLevel="0" collapsed="false">
      <c r="A97" s="21" t="str">
        <f aca="false">IF(B97="","","C"&amp;TEXT(ROW()-4,"000"))</f>
        <v/>
      </c>
      <c r="B97" s="22"/>
      <c r="C97" s="22"/>
      <c r="D97" s="22"/>
      <c r="E97" s="22"/>
      <c r="F97" s="22"/>
      <c r="G97" s="22"/>
      <c r="H97" s="23"/>
      <c r="I97" s="24" t="str">
        <f aca="false">IF(OR(B97="",G97=""),"",INDEX(Settings!$F$14:$F$21,MATCH(G97,Settings!$E$14:$E$21,0)))</f>
        <v/>
      </c>
      <c r="J97" s="25" t="str">
        <f aca="false">IF(OR(I97="",H97=""),"",H97*I97)</f>
        <v/>
      </c>
      <c r="K97" s="21" t="str">
        <f aca="false">IF(OR(B97="",G97=""),"",INDEX(Settings!$G$14:$G$21,MATCH(G97,Settings!$E$14:$E$21,0)))</f>
        <v/>
      </c>
      <c r="L97" s="26"/>
      <c r="M97" s="26"/>
      <c r="N97" s="22"/>
      <c r="O97" s="26"/>
      <c r="P97" s="27" t="str">
        <f aca="false">IF(OR(B97="",O97="",G97="Lost"),"",O97-Settings!$C$6)</f>
        <v/>
      </c>
      <c r="Q97" s="21" t="str">
        <f aca="false">IF(P97="","",IF(P97&lt;0,"Overdue",IF(P97&lt;=7,"Due this week","Upcoming")))</f>
        <v/>
      </c>
      <c r="R97" s="26"/>
      <c r="S97" s="28" t="str">
        <f aca="false">IF(AND(G97="7 · Past client",R97&lt;&gt;""),R97+90,"")</f>
        <v/>
      </c>
      <c r="T97" s="22"/>
      <c r="U97" s="29" t="n">
        <f aca="false">IF(P97="",0,1)</f>
        <v>0</v>
      </c>
      <c r="V97" s="29" t="str">
        <f aca="false">IF(U97=0,"",COUNTIFS($U$5:$U$154,1,$O$5:$O$154,"&lt;"&amp;O97)+COUNTIFS($U$5:$U97,1,$O$5:$O97,O97))</f>
        <v/>
      </c>
    </row>
    <row r="98" customFormat="false" ht="15" hidden="false" customHeight="false" outlineLevel="0" collapsed="false">
      <c r="A98" s="21" t="str">
        <f aca="false">IF(B98="","","C"&amp;TEXT(ROW()-4,"000"))</f>
        <v/>
      </c>
      <c r="B98" s="22"/>
      <c r="C98" s="22"/>
      <c r="D98" s="22"/>
      <c r="E98" s="22"/>
      <c r="F98" s="22"/>
      <c r="G98" s="22"/>
      <c r="H98" s="23"/>
      <c r="I98" s="24" t="str">
        <f aca="false">IF(OR(B98="",G98=""),"",INDEX(Settings!$F$14:$F$21,MATCH(G98,Settings!$E$14:$E$21,0)))</f>
        <v/>
      </c>
      <c r="J98" s="25" t="str">
        <f aca="false">IF(OR(I98="",H98=""),"",H98*I98)</f>
        <v/>
      </c>
      <c r="K98" s="21" t="str">
        <f aca="false">IF(OR(B98="",G98=""),"",INDEX(Settings!$G$14:$G$21,MATCH(G98,Settings!$E$14:$E$21,0)))</f>
        <v/>
      </c>
      <c r="L98" s="26"/>
      <c r="M98" s="26"/>
      <c r="N98" s="22"/>
      <c r="O98" s="26"/>
      <c r="P98" s="27" t="str">
        <f aca="false">IF(OR(B98="",O98="",G98="Lost"),"",O98-Settings!$C$6)</f>
        <v/>
      </c>
      <c r="Q98" s="21" t="str">
        <f aca="false">IF(P98="","",IF(P98&lt;0,"Overdue",IF(P98&lt;=7,"Due this week","Upcoming")))</f>
        <v/>
      </c>
      <c r="R98" s="26"/>
      <c r="S98" s="28" t="str">
        <f aca="false">IF(AND(G98="7 · Past client",R98&lt;&gt;""),R98+90,"")</f>
        <v/>
      </c>
      <c r="T98" s="22"/>
      <c r="U98" s="29" t="n">
        <f aca="false">IF(P98="",0,1)</f>
        <v>0</v>
      </c>
      <c r="V98" s="29" t="str">
        <f aca="false">IF(U98=0,"",COUNTIFS($U$5:$U$154,1,$O$5:$O$154,"&lt;"&amp;O98)+COUNTIFS($U$5:$U98,1,$O$5:$O98,O98))</f>
        <v/>
      </c>
    </row>
    <row r="99" customFormat="false" ht="15" hidden="false" customHeight="false" outlineLevel="0" collapsed="false">
      <c r="A99" s="21" t="str">
        <f aca="false">IF(B99="","","C"&amp;TEXT(ROW()-4,"000"))</f>
        <v/>
      </c>
      <c r="B99" s="22"/>
      <c r="C99" s="22"/>
      <c r="D99" s="22"/>
      <c r="E99" s="22"/>
      <c r="F99" s="22"/>
      <c r="G99" s="22"/>
      <c r="H99" s="23"/>
      <c r="I99" s="24" t="str">
        <f aca="false">IF(OR(B99="",G99=""),"",INDEX(Settings!$F$14:$F$21,MATCH(G99,Settings!$E$14:$E$21,0)))</f>
        <v/>
      </c>
      <c r="J99" s="25" t="str">
        <f aca="false">IF(OR(I99="",H99=""),"",H99*I99)</f>
        <v/>
      </c>
      <c r="K99" s="21" t="str">
        <f aca="false">IF(OR(B99="",G99=""),"",INDEX(Settings!$G$14:$G$21,MATCH(G99,Settings!$E$14:$E$21,0)))</f>
        <v/>
      </c>
      <c r="L99" s="26"/>
      <c r="M99" s="26"/>
      <c r="N99" s="22"/>
      <c r="O99" s="26"/>
      <c r="P99" s="27" t="str">
        <f aca="false">IF(OR(B99="",O99="",G99="Lost"),"",O99-Settings!$C$6)</f>
        <v/>
      </c>
      <c r="Q99" s="21" t="str">
        <f aca="false">IF(P99="","",IF(P99&lt;0,"Overdue",IF(P99&lt;=7,"Due this week","Upcoming")))</f>
        <v/>
      </c>
      <c r="R99" s="26"/>
      <c r="S99" s="28" t="str">
        <f aca="false">IF(AND(G99="7 · Past client",R99&lt;&gt;""),R99+90,"")</f>
        <v/>
      </c>
      <c r="T99" s="22"/>
      <c r="U99" s="29" t="n">
        <f aca="false">IF(P99="",0,1)</f>
        <v>0</v>
      </c>
      <c r="V99" s="29" t="str">
        <f aca="false">IF(U99=0,"",COUNTIFS($U$5:$U$154,1,$O$5:$O$154,"&lt;"&amp;O99)+COUNTIFS($U$5:$U99,1,$O$5:$O99,O99))</f>
        <v/>
      </c>
    </row>
    <row r="100" customFormat="false" ht="15" hidden="false" customHeight="false" outlineLevel="0" collapsed="false">
      <c r="A100" s="21" t="str">
        <f aca="false">IF(B100="","","C"&amp;TEXT(ROW()-4,"000"))</f>
        <v/>
      </c>
      <c r="B100" s="22"/>
      <c r="C100" s="22"/>
      <c r="D100" s="22"/>
      <c r="E100" s="22"/>
      <c r="F100" s="22"/>
      <c r="G100" s="22"/>
      <c r="H100" s="23"/>
      <c r="I100" s="24" t="str">
        <f aca="false">IF(OR(B100="",G100=""),"",INDEX(Settings!$F$14:$F$21,MATCH(G100,Settings!$E$14:$E$21,0)))</f>
        <v/>
      </c>
      <c r="J100" s="25" t="str">
        <f aca="false">IF(OR(I100="",H100=""),"",H100*I100)</f>
        <v/>
      </c>
      <c r="K100" s="21" t="str">
        <f aca="false">IF(OR(B100="",G100=""),"",INDEX(Settings!$G$14:$G$21,MATCH(G100,Settings!$E$14:$E$21,0)))</f>
        <v/>
      </c>
      <c r="L100" s="26"/>
      <c r="M100" s="26"/>
      <c r="N100" s="22"/>
      <c r="O100" s="26"/>
      <c r="P100" s="27" t="str">
        <f aca="false">IF(OR(B100="",O100="",G100="Lost"),"",O100-Settings!$C$6)</f>
        <v/>
      </c>
      <c r="Q100" s="21" t="str">
        <f aca="false">IF(P100="","",IF(P100&lt;0,"Overdue",IF(P100&lt;=7,"Due this week","Upcoming")))</f>
        <v/>
      </c>
      <c r="R100" s="26"/>
      <c r="S100" s="28" t="str">
        <f aca="false">IF(AND(G100="7 · Past client",R100&lt;&gt;""),R100+90,"")</f>
        <v/>
      </c>
      <c r="T100" s="22"/>
      <c r="U100" s="29" t="n">
        <f aca="false">IF(P100="",0,1)</f>
        <v>0</v>
      </c>
      <c r="V100" s="29" t="str">
        <f aca="false">IF(U100=0,"",COUNTIFS($U$5:$U$154,1,$O$5:$O$154,"&lt;"&amp;O100)+COUNTIFS($U$5:$U100,1,$O$5:$O100,O100))</f>
        <v/>
      </c>
    </row>
    <row r="101" customFormat="false" ht="15" hidden="false" customHeight="false" outlineLevel="0" collapsed="false">
      <c r="A101" s="21" t="str">
        <f aca="false">IF(B101="","","C"&amp;TEXT(ROW()-4,"000"))</f>
        <v/>
      </c>
      <c r="B101" s="22"/>
      <c r="C101" s="22"/>
      <c r="D101" s="22"/>
      <c r="E101" s="22"/>
      <c r="F101" s="22"/>
      <c r="G101" s="22"/>
      <c r="H101" s="23"/>
      <c r="I101" s="24" t="str">
        <f aca="false">IF(OR(B101="",G101=""),"",INDEX(Settings!$F$14:$F$21,MATCH(G101,Settings!$E$14:$E$21,0)))</f>
        <v/>
      </c>
      <c r="J101" s="25" t="str">
        <f aca="false">IF(OR(I101="",H101=""),"",H101*I101)</f>
        <v/>
      </c>
      <c r="K101" s="21" t="str">
        <f aca="false">IF(OR(B101="",G101=""),"",INDEX(Settings!$G$14:$G$21,MATCH(G101,Settings!$E$14:$E$21,0)))</f>
        <v/>
      </c>
      <c r="L101" s="26"/>
      <c r="M101" s="26"/>
      <c r="N101" s="22"/>
      <c r="O101" s="26"/>
      <c r="P101" s="27" t="str">
        <f aca="false">IF(OR(B101="",O101="",G101="Lost"),"",O101-Settings!$C$6)</f>
        <v/>
      </c>
      <c r="Q101" s="21" t="str">
        <f aca="false">IF(P101="","",IF(P101&lt;0,"Overdue",IF(P101&lt;=7,"Due this week","Upcoming")))</f>
        <v/>
      </c>
      <c r="R101" s="26"/>
      <c r="S101" s="28" t="str">
        <f aca="false">IF(AND(G101="7 · Past client",R101&lt;&gt;""),R101+90,"")</f>
        <v/>
      </c>
      <c r="T101" s="22"/>
      <c r="U101" s="29" t="n">
        <f aca="false">IF(P101="",0,1)</f>
        <v>0</v>
      </c>
      <c r="V101" s="29" t="str">
        <f aca="false">IF(U101=0,"",COUNTIFS($U$5:$U$154,1,$O$5:$O$154,"&lt;"&amp;O101)+COUNTIFS($U$5:$U101,1,$O$5:$O101,O101))</f>
        <v/>
      </c>
    </row>
    <row r="102" customFormat="false" ht="15" hidden="false" customHeight="false" outlineLevel="0" collapsed="false">
      <c r="A102" s="21" t="str">
        <f aca="false">IF(B102="","","C"&amp;TEXT(ROW()-4,"000"))</f>
        <v/>
      </c>
      <c r="B102" s="22"/>
      <c r="C102" s="22"/>
      <c r="D102" s="22"/>
      <c r="E102" s="22"/>
      <c r="F102" s="22"/>
      <c r="G102" s="22"/>
      <c r="H102" s="23"/>
      <c r="I102" s="24" t="str">
        <f aca="false">IF(OR(B102="",G102=""),"",INDEX(Settings!$F$14:$F$21,MATCH(G102,Settings!$E$14:$E$21,0)))</f>
        <v/>
      </c>
      <c r="J102" s="25" t="str">
        <f aca="false">IF(OR(I102="",H102=""),"",H102*I102)</f>
        <v/>
      </c>
      <c r="K102" s="21" t="str">
        <f aca="false">IF(OR(B102="",G102=""),"",INDEX(Settings!$G$14:$G$21,MATCH(G102,Settings!$E$14:$E$21,0)))</f>
        <v/>
      </c>
      <c r="L102" s="26"/>
      <c r="M102" s="26"/>
      <c r="N102" s="22"/>
      <c r="O102" s="26"/>
      <c r="P102" s="27" t="str">
        <f aca="false">IF(OR(B102="",O102="",G102="Lost"),"",O102-Settings!$C$6)</f>
        <v/>
      </c>
      <c r="Q102" s="21" t="str">
        <f aca="false">IF(P102="","",IF(P102&lt;0,"Overdue",IF(P102&lt;=7,"Due this week","Upcoming")))</f>
        <v/>
      </c>
      <c r="R102" s="26"/>
      <c r="S102" s="28" t="str">
        <f aca="false">IF(AND(G102="7 · Past client",R102&lt;&gt;""),R102+90,"")</f>
        <v/>
      </c>
      <c r="T102" s="22"/>
      <c r="U102" s="29" t="n">
        <f aca="false">IF(P102="",0,1)</f>
        <v>0</v>
      </c>
      <c r="V102" s="29" t="str">
        <f aca="false">IF(U102=0,"",COUNTIFS($U$5:$U$154,1,$O$5:$O$154,"&lt;"&amp;O102)+COUNTIFS($U$5:$U102,1,$O$5:$O102,O102))</f>
        <v/>
      </c>
    </row>
    <row r="103" customFormat="false" ht="15" hidden="false" customHeight="false" outlineLevel="0" collapsed="false">
      <c r="A103" s="21" t="str">
        <f aca="false">IF(B103="","","C"&amp;TEXT(ROW()-4,"000"))</f>
        <v/>
      </c>
      <c r="B103" s="22"/>
      <c r="C103" s="22"/>
      <c r="D103" s="22"/>
      <c r="E103" s="22"/>
      <c r="F103" s="22"/>
      <c r="G103" s="22"/>
      <c r="H103" s="23"/>
      <c r="I103" s="24" t="str">
        <f aca="false">IF(OR(B103="",G103=""),"",INDEX(Settings!$F$14:$F$21,MATCH(G103,Settings!$E$14:$E$21,0)))</f>
        <v/>
      </c>
      <c r="J103" s="25" t="str">
        <f aca="false">IF(OR(I103="",H103=""),"",H103*I103)</f>
        <v/>
      </c>
      <c r="K103" s="21" t="str">
        <f aca="false">IF(OR(B103="",G103=""),"",INDEX(Settings!$G$14:$G$21,MATCH(G103,Settings!$E$14:$E$21,0)))</f>
        <v/>
      </c>
      <c r="L103" s="26"/>
      <c r="M103" s="26"/>
      <c r="N103" s="22"/>
      <c r="O103" s="26"/>
      <c r="P103" s="27" t="str">
        <f aca="false">IF(OR(B103="",O103="",G103="Lost"),"",O103-Settings!$C$6)</f>
        <v/>
      </c>
      <c r="Q103" s="21" t="str">
        <f aca="false">IF(P103="","",IF(P103&lt;0,"Overdue",IF(P103&lt;=7,"Due this week","Upcoming")))</f>
        <v/>
      </c>
      <c r="R103" s="26"/>
      <c r="S103" s="28" t="str">
        <f aca="false">IF(AND(G103="7 · Past client",R103&lt;&gt;""),R103+90,"")</f>
        <v/>
      </c>
      <c r="T103" s="22"/>
      <c r="U103" s="29" t="n">
        <f aca="false">IF(P103="",0,1)</f>
        <v>0</v>
      </c>
      <c r="V103" s="29" t="str">
        <f aca="false">IF(U103=0,"",COUNTIFS($U$5:$U$154,1,$O$5:$O$154,"&lt;"&amp;O103)+COUNTIFS($U$5:$U103,1,$O$5:$O103,O103))</f>
        <v/>
      </c>
    </row>
    <row r="104" customFormat="false" ht="15" hidden="false" customHeight="false" outlineLevel="0" collapsed="false">
      <c r="A104" s="21" t="str">
        <f aca="false">IF(B104="","","C"&amp;TEXT(ROW()-4,"000"))</f>
        <v/>
      </c>
      <c r="B104" s="22"/>
      <c r="C104" s="22"/>
      <c r="D104" s="22"/>
      <c r="E104" s="22"/>
      <c r="F104" s="22"/>
      <c r="G104" s="22"/>
      <c r="H104" s="23"/>
      <c r="I104" s="24" t="str">
        <f aca="false">IF(OR(B104="",G104=""),"",INDEX(Settings!$F$14:$F$21,MATCH(G104,Settings!$E$14:$E$21,0)))</f>
        <v/>
      </c>
      <c r="J104" s="25" t="str">
        <f aca="false">IF(OR(I104="",H104=""),"",H104*I104)</f>
        <v/>
      </c>
      <c r="K104" s="21" t="str">
        <f aca="false">IF(OR(B104="",G104=""),"",INDEX(Settings!$G$14:$G$21,MATCH(G104,Settings!$E$14:$E$21,0)))</f>
        <v/>
      </c>
      <c r="L104" s="26"/>
      <c r="M104" s="26"/>
      <c r="N104" s="22"/>
      <c r="O104" s="26"/>
      <c r="P104" s="27" t="str">
        <f aca="false">IF(OR(B104="",O104="",G104="Lost"),"",O104-Settings!$C$6)</f>
        <v/>
      </c>
      <c r="Q104" s="21" t="str">
        <f aca="false">IF(P104="","",IF(P104&lt;0,"Overdue",IF(P104&lt;=7,"Due this week","Upcoming")))</f>
        <v/>
      </c>
      <c r="R104" s="26"/>
      <c r="S104" s="28" t="str">
        <f aca="false">IF(AND(G104="7 · Past client",R104&lt;&gt;""),R104+90,"")</f>
        <v/>
      </c>
      <c r="T104" s="22"/>
      <c r="U104" s="29" t="n">
        <f aca="false">IF(P104="",0,1)</f>
        <v>0</v>
      </c>
      <c r="V104" s="29" t="str">
        <f aca="false">IF(U104=0,"",COUNTIFS($U$5:$U$154,1,$O$5:$O$154,"&lt;"&amp;O104)+COUNTIFS($U$5:$U104,1,$O$5:$O104,O104))</f>
        <v/>
      </c>
    </row>
    <row r="105" customFormat="false" ht="15" hidden="false" customHeight="false" outlineLevel="0" collapsed="false">
      <c r="A105" s="21" t="str">
        <f aca="false">IF(B105="","","C"&amp;TEXT(ROW()-4,"000"))</f>
        <v/>
      </c>
      <c r="B105" s="22"/>
      <c r="C105" s="22"/>
      <c r="D105" s="22"/>
      <c r="E105" s="22"/>
      <c r="F105" s="22"/>
      <c r="G105" s="22"/>
      <c r="H105" s="23"/>
      <c r="I105" s="24" t="str">
        <f aca="false">IF(OR(B105="",G105=""),"",INDEX(Settings!$F$14:$F$21,MATCH(G105,Settings!$E$14:$E$21,0)))</f>
        <v/>
      </c>
      <c r="J105" s="25" t="str">
        <f aca="false">IF(OR(I105="",H105=""),"",H105*I105)</f>
        <v/>
      </c>
      <c r="K105" s="21" t="str">
        <f aca="false">IF(OR(B105="",G105=""),"",INDEX(Settings!$G$14:$G$21,MATCH(G105,Settings!$E$14:$E$21,0)))</f>
        <v/>
      </c>
      <c r="L105" s="26"/>
      <c r="M105" s="26"/>
      <c r="N105" s="22"/>
      <c r="O105" s="26"/>
      <c r="P105" s="27" t="str">
        <f aca="false">IF(OR(B105="",O105="",G105="Lost"),"",O105-Settings!$C$6)</f>
        <v/>
      </c>
      <c r="Q105" s="21" t="str">
        <f aca="false">IF(P105="","",IF(P105&lt;0,"Overdue",IF(P105&lt;=7,"Due this week","Upcoming")))</f>
        <v/>
      </c>
      <c r="R105" s="26"/>
      <c r="S105" s="28" t="str">
        <f aca="false">IF(AND(G105="7 · Past client",R105&lt;&gt;""),R105+90,"")</f>
        <v/>
      </c>
      <c r="T105" s="22"/>
      <c r="U105" s="29" t="n">
        <f aca="false">IF(P105="",0,1)</f>
        <v>0</v>
      </c>
      <c r="V105" s="29" t="str">
        <f aca="false">IF(U105=0,"",COUNTIFS($U$5:$U$154,1,$O$5:$O$154,"&lt;"&amp;O105)+COUNTIFS($U$5:$U105,1,$O$5:$O105,O105))</f>
        <v/>
      </c>
    </row>
    <row r="106" customFormat="false" ht="15" hidden="false" customHeight="false" outlineLevel="0" collapsed="false">
      <c r="A106" s="21" t="str">
        <f aca="false">IF(B106="","","C"&amp;TEXT(ROW()-4,"000"))</f>
        <v/>
      </c>
      <c r="B106" s="22"/>
      <c r="C106" s="22"/>
      <c r="D106" s="22"/>
      <c r="E106" s="22"/>
      <c r="F106" s="22"/>
      <c r="G106" s="22"/>
      <c r="H106" s="23"/>
      <c r="I106" s="24" t="str">
        <f aca="false">IF(OR(B106="",G106=""),"",INDEX(Settings!$F$14:$F$21,MATCH(G106,Settings!$E$14:$E$21,0)))</f>
        <v/>
      </c>
      <c r="J106" s="25" t="str">
        <f aca="false">IF(OR(I106="",H106=""),"",H106*I106)</f>
        <v/>
      </c>
      <c r="K106" s="21" t="str">
        <f aca="false">IF(OR(B106="",G106=""),"",INDEX(Settings!$G$14:$G$21,MATCH(G106,Settings!$E$14:$E$21,0)))</f>
        <v/>
      </c>
      <c r="L106" s="26"/>
      <c r="M106" s="26"/>
      <c r="N106" s="22"/>
      <c r="O106" s="26"/>
      <c r="P106" s="27" t="str">
        <f aca="false">IF(OR(B106="",O106="",G106="Lost"),"",O106-Settings!$C$6)</f>
        <v/>
      </c>
      <c r="Q106" s="21" t="str">
        <f aca="false">IF(P106="","",IF(P106&lt;0,"Overdue",IF(P106&lt;=7,"Due this week","Upcoming")))</f>
        <v/>
      </c>
      <c r="R106" s="26"/>
      <c r="S106" s="28" t="str">
        <f aca="false">IF(AND(G106="7 · Past client",R106&lt;&gt;""),R106+90,"")</f>
        <v/>
      </c>
      <c r="T106" s="22"/>
      <c r="U106" s="29" t="n">
        <f aca="false">IF(P106="",0,1)</f>
        <v>0</v>
      </c>
      <c r="V106" s="29" t="str">
        <f aca="false">IF(U106=0,"",COUNTIFS($U$5:$U$154,1,$O$5:$O$154,"&lt;"&amp;O106)+COUNTIFS($U$5:$U106,1,$O$5:$O106,O106))</f>
        <v/>
      </c>
    </row>
    <row r="107" customFormat="false" ht="15" hidden="false" customHeight="false" outlineLevel="0" collapsed="false">
      <c r="A107" s="21" t="str">
        <f aca="false">IF(B107="","","C"&amp;TEXT(ROW()-4,"000"))</f>
        <v/>
      </c>
      <c r="B107" s="22"/>
      <c r="C107" s="22"/>
      <c r="D107" s="22"/>
      <c r="E107" s="22"/>
      <c r="F107" s="22"/>
      <c r="G107" s="22"/>
      <c r="H107" s="23"/>
      <c r="I107" s="24" t="str">
        <f aca="false">IF(OR(B107="",G107=""),"",INDEX(Settings!$F$14:$F$21,MATCH(G107,Settings!$E$14:$E$21,0)))</f>
        <v/>
      </c>
      <c r="J107" s="25" t="str">
        <f aca="false">IF(OR(I107="",H107=""),"",H107*I107)</f>
        <v/>
      </c>
      <c r="K107" s="21" t="str">
        <f aca="false">IF(OR(B107="",G107=""),"",INDEX(Settings!$G$14:$G$21,MATCH(G107,Settings!$E$14:$E$21,0)))</f>
        <v/>
      </c>
      <c r="L107" s="26"/>
      <c r="M107" s="26"/>
      <c r="N107" s="22"/>
      <c r="O107" s="26"/>
      <c r="P107" s="27" t="str">
        <f aca="false">IF(OR(B107="",O107="",G107="Lost"),"",O107-Settings!$C$6)</f>
        <v/>
      </c>
      <c r="Q107" s="21" t="str">
        <f aca="false">IF(P107="","",IF(P107&lt;0,"Overdue",IF(P107&lt;=7,"Due this week","Upcoming")))</f>
        <v/>
      </c>
      <c r="R107" s="26"/>
      <c r="S107" s="28" t="str">
        <f aca="false">IF(AND(G107="7 · Past client",R107&lt;&gt;""),R107+90,"")</f>
        <v/>
      </c>
      <c r="T107" s="22"/>
      <c r="U107" s="29" t="n">
        <f aca="false">IF(P107="",0,1)</f>
        <v>0</v>
      </c>
      <c r="V107" s="29" t="str">
        <f aca="false">IF(U107=0,"",COUNTIFS($U$5:$U$154,1,$O$5:$O$154,"&lt;"&amp;O107)+COUNTIFS($U$5:$U107,1,$O$5:$O107,O107))</f>
        <v/>
      </c>
    </row>
    <row r="108" customFormat="false" ht="15" hidden="false" customHeight="false" outlineLevel="0" collapsed="false">
      <c r="A108" s="21" t="str">
        <f aca="false">IF(B108="","","C"&amp;TEXT(ROW()-4,"000"))</f>
        <v/>
      </c>
      <c r="B108" s="22"/>
      <c r="C108" s="22"/>
      <c r="D108" s="22"/>
      <c r="E108" s="22"/>
      <c r="F108" s="22"/>
      <c r="G108" s="22"/>
      <c r="H108" s="23"/>
      <c r="I108" s="24" t="str">
        <f aca="false">IF(OR(B108="",G108=""),"",INDEX(Settings!$F$14:$F$21,MATCH(G108,Settings!$E$14:$E$21,0)))</f>
        <v/>
      </c>
      <c r="J108" s="25" t="str">
        <f aca="false">IF(OR(I108="",H108=""),"",H108*I108)</f>
        <v/>
      </c>
      <c r="K108" s="21" t="str">
        <f aca="false">IF(OR(B108="",G108=""),"",INDEX(Settings!$G$14:$G$21,MATCH(G108,Settings!$E$14:$E$21,0)))</f>
        <v/>
      </c>
      <c r="L108" s="26"/>
      <c r="M108" s="26"/>
      <c r="N108" s="22"/>
      <c r="O108" s="26"/>
      <c r="P108" s="27" t="str">
        <f aca="false">IF(OR(B108="",O108="",G108="Lost"),"",O108-Settings!$C$6)</f>
        <v/>
      </c>
      <c r="Q108" s="21" t="str">
        <f aca="false">IF(P108="","",IF(P108&lt;0,"Overdue",IF(P108&lt;=7,"Due this week","Upcoming")))</f>
        <v/>
      </c>
      <c r="R108" s="26"/>
      <c r="S108" s="28" t="str">
        <f aca="false">IF(AND(G108="7 · Past client",R108&lt;&gt;""),R108+90,"")</f>
        <v/>
      </c>
      <c r="T108" s="22"/>
      <c r="U108" s="29" t="n">
        <f aca="false">IF(P108="",0,1)</f>
        <v>0</v>
      </c>
      <c r="V108" s="29" t="str">
        <f aca="false">IF(U108=0,"",COUNTIFS($U$5:$U$154,1,$O$5:$O$154,"&lt;"&amp;O108)+COUNTIFS($U$5:$U108,1,$O$5:$O108,O108))</f>
        <v/>
      </c>
    </row>
    <row r="109" customFormat="false" ht="15" hidden="false" customHeight="false" outlineLevel="0" collapsed="false">
      <c r="A109" s="21" t="str">
        <f aca="false">IF(B109="","","C"&amp;TEXT(ROW()-4,"000"))</f>
        <v/>
      </c>
      <c r="B109" s="22"/>
      <c r="C109" s="22"/>
      <c r="D109" s="22"/>
      <c r="E109" s="22"/>
      <c r="F109" s="22"/>
      <c r="G109" s="22"/>
      <c r="H109" s="23"/>
      <c r="I109" s="24" t="str">
        <f aca="false">IF(OR(B109="",G109=""),"",INDEX(Settings!$F$14:$F$21,MATCH(G109,Settings!$E$14:$E$21,0)))</f>
        <v/>
      </c>
      <c r="J109" s="25" t="str">
        <f aca="false">IF(OR(I109="",H109=""),"",H109*I109)</f>
        <v/>
      </c>
      <c r="K109" s="21" t="str">
        <f aca="false">IF(OR(B109="",G109=""),"",INDEX(Settings!$G$14:$G$21,MATCH(G109,Settings!$E$14:$E$21,0)))</f>
        <v/>
      </c>
      <c r="L109" s="26"/>
      <c r="M109" s="26"/>
      <c r="N109" s="22"/>
      <c r="O109" s="26"/>
      <c r="P109" s="27" t="str">
        <f aca="false">IF(OR(B109="",O109="",G109="Lost"),"",O109-Settings!$C$6)</f>
        <v/>
      </c>
      <c r="Q109" s="21" t="str">
        <f aca="false">IF(P109="","",IF(P109&lt;0,"Overdue",IF(P109&lt;=7,"Due this week","Upcoming")))</f>
        <v/>
      </c>
      <c r="R109" s="26"/>
      <c r="S109" s="28" t="str">
        <f aca="false">IF(AND(G109="7 · Past client",R109&lt;&gt;""),R109+90,"")</f>
        <v/>
      </c>
      <c r="T109" s="22"/>
      <c r="U109" s="29" t="n">
        <f aca="false">IF(P109="",0,1)</f>
        <v>0</v>
      </c>
      <c r="V109" s="29" t="str">
        <f aca="false">IF(U109=0,"",COUNTIFS($U$5:$U$154,1,$O$5:$O$154,"&lt;"&amp;O109)+COUNTIFS($U$5:$U109,1,$O$5:$O109,O109))</f>
        <v/>
      </c>
    </row>
    <row r="110" customFormat="false" ht="15" hidden="false" customHeight="false" outlineLevel="0" collapsed="false">
      <c r="A110" s="21" t="str">
        <f aca="false">IF(B110="","","C"&amp;TEXT(ROW()-4,"000"))</f>
        <v/>
      </c>
      <c r="B110" s="22"/>
      <c r="C110" s="22"/>
      <c r="D110" s="22"/>
      <c r="E110" s="22"/>
      <c r="F110" s="22"/>
      <c r="G110" s="22"/>
      <c r="H110" s="23"/>
      <c r="I110" s="24" t="str">
        <f aca="false">IF(OR(B110="",G110=""),"",INDEX(Settings!$F$14:$F$21,MATCH(G110,Settings!$E$14:$E$21,0)))</f>
        <v/>
      </c>
      <c r="J110" s="25" t="str">
        <f aca="false">IF(OR(I110="",H110=""),"",H110*I110)</f>
        <v/>
      </c>
      <c r="K110" s="21" t="str">
        <f aca="false">IF(OR(B110="",G110=""),"",INDEX(Settings!$G$14:$G$21,MATCH(G110,Settings!$E$14:$E$21,0)))</f>
        <v/>
      </c>
      <c r="L110" s="26"/>
      <c r="M110" s="26"/>
      <c r="N110" s="22"/>
      <c r="O110" s="26"/>
      <c r="P110" s="27" t="str">
        <f aca="false">IF(OR(B110="",O110="",G110="Lost"),"",O110-Settings!$C$6)</f>
        <v/>
      </c>
      <c r="Q110" s="21" t="str">
        <f aca="false">IF(P110="","",IF(P110&lt;0,"Overdue",IF(P110&lt;=7,"Due this week","Upcoming")))</f>
        <v/>
      </c>
      <c r="R110" s="26"/>
      <c r="S110" s="28" t="str">
        <f aca="false">IF(AND(G110="7 · Past client",R110&lt;&gt;""),R110+90,"")</f>
        <v/>
      </c>
      <c r="T110" s="22"/>
      <c r="U110" s="29" t="n">
        <f aca="false">IF(P110="",0,1)</f>
        <v>0</v>
      </c>
      <c r="V110" s="29" t="str">
        <f aca="false">IF(U110=0,"",COUNTIFS($U$5:$U$154,1,$O$5:$O$154,"&lt;"&amp;O110)+COUNTIFS($U$5:$U110,1,$O$5:$O110,O110))</f>
        <v/>
      </c>
    </row>
    <row r="111" customFormat="false" ht="15" hidden="false" customHeight="false" outlineLevel="0" collapsed="false">
      <c r="A111" s="21" t="str">
        <f aca="false">IF(B111="","","C"&amp;TEXT(ROW()-4,"000"))</f>
        <v/>
      </c>
      <c r="B111" s="22"/>
      <c r="C111" s="22"/>
      <c r="D111" s="22"/>
      <c r="E111" s="22"/>
      <c r="F111" s="22"/>
      <c r="G111" s="22"/>
      <c r="H111" s="23"/>
      <c r="I111" s="24" t="str">
        <f aca="false">IF(OR(B111="",G111=""),"",INDEX(Settings!$F$14:$F$21,MATCH(G111,Settings!$E$14:$E$21,0)))</f>
        <v/>
      </c>
      <c r="J111" s="25" t="str">
        <f aca="false">IF(OR(I111="",H111=""),"",H111*I111)</f>
        <v/>
      </c>
      <c r="K111" s="21" t="str">
        <f aca="false">IF(OR(B111="",G111=""),"",INDEX(Settings!$G$14:$G$21,MATCH(G111,Settings!$E$14:$E$21,0)))</f>
        <v/>
      </c>
      <c r="L111" s="26"/>
      <c r="M111" s="26"/>
      <c r="N111" s="22"/>
      <c r="O111" s="26"/>
      <c r="P111" s="27" t="str">
        <f aca="false">IF(OR(B111="",O111="",G111="Lost"),"",O111-Settings!$C$6)</f>
        <v/>
      </c>
      <c r="Q111" s="21" t="str">
        <f aca="false">IF(P111="","",IF(P111&lt;0,"Overdue",IF(P111&lt;=7,"Due this week","Upcoming")))</f>
        <v/>
      </c>
      <c r="R111" s="26"/>
      <c r="S111" s="28" t="str">
        <f aca="false">IF(AND(G111="7 · Past client",R111&lt;&gt;""),R111+90,"")</f>
        <v/>
      </c>
      <c r="T111" s="22"/>
      <c r="U111" s="29" t="n">
        <f aca="false">IF(P111="",0,1)</f>
        <v>0</v>
      </c>
      <c r="V111" s="29" t="str">
        <f aca="false">IF(U111=0,"",COUNTIFS($U$5:$U$154,1,$O$5:$O$154,"&lt;"&amp;O111)+COUNTIFS($U$5:$U111,1,$O$5:$O111,O111))</f>
        <v/>
      </c>
    </row>
    <row r="112" customFormat="false" ht="15" hidden="false" customHeight="false" outlineLevel="0" collapsed="false">
      <c r="A112" s="21" t="str">
        <f aca="false">IF(B112="","","C"&amp;TEXT(ROW()-4,"000"))</f>
        <v/>
      </c>
      <c r="B112" s="22"/>
      <c r="C112" s="22"/>
      <c r="D112" s="22"/>
      <c r="E112" s="22"/>
      <c r="F112" s="22"/>
      <c r="G112" s="22"/>
      <c r="H112" s="23"/>
      <c r="I112" s="24" t="str">
        <f aca="false">IF(OR(B112="",G112=""),"",INDEX(Settings!$F$14:$F$21,MATCH(G112,Settings!$E$14:$E$21,0)))</f>
        <v/>
      </c>
      <c r="J112" s="25" t="str">
        <f aca="false">IF(OR(I112="",H112=""),"",H112*I112)</f>
        <v/>
      </c>
      <c r="K112" s="21" t="str">
        <f aca="false">IF(OR(B112="",G112=""),"",INDEX(Settings!$G$14:$G$21,MATCH(G112,Settings!$E$14:$E$21,0)))</f>
        <v/>
      </c>
      <c r="L112" s="26"/>
      <c r="M112" s="26"/>
      <c r="N112" s="22"/>
      <c r="O112" s="26"/>
      <c r="P112" s="27" t="str">
        <f aca="false">IF(OR(B112="",O112="",G112="Lost"),"",O112-Settings!$C$6)</f>
        <v/>
      </c>
      <c r="Q112" s="21" t="str">
        <f aca="false">IF(P112="","",IF(P112&lt;0,"Overdue",IF(P112&lt;=7,"Due this week","Upcoming")))</f>
        <v/>
      </c>
      <c r="R112" s="26"/>
      <c r="S112" s="28" t="str">
        <f aca="false">IF(AND(G112="7 · Past client",R112&lt;&gt;""),R112+90,"")</f>
        <v/>
      </c>
      <c r="T112" s="22"/>
      <c r="U112" s="29" t="n">
        <f aca="false">IF(P112="",0,1)</f>
        <v>0</v>
      </c>
      <c r="V112" s="29" t="str">
        <f aca="false">IF(U112=0,"",COUNTIFS($U$5:$U$154,1,$O$5:$O$154,"&lt;"&amp;O112)+COUNTIFS($U$5:$U112,1,$O$5:$O112,O112))</f>
        <v/>
      </c>
    </row>
    <row r="113" customFormat="false" ht="15" hidden="false" customHeight="false" outlineLevel="0" collapsed="false">
      <c r="A113" s="21" t="str">
        <f aca="false">IF(B113="","","C"&amp;TEXT(ROW()-4,"000"))</f>
        <v/>
      </c>
      <c r="B113" s="22"/>
      <c r="C113" s="22"/>
      <c r="D113" s="22"/>
      <c r="E113" s="22"/>
      <c r="F113" s="22"/>
      <c r="G113" s="22"/>
      <c r="H113" s="23"/>
      <c r="I113" s="24" t="str">
        <f aca="false">IF(OR(B113="",G113=""),"",INDEX(Settings!$F$14:$F$21,MATCH(G113,Settings!$E$14:$E$21,0)))</f>
        <v/>
      </c>
      <c r="J113" s="25" t="str">
        <f aca="false">IF(OR(I113="",H113=""),"",H113*I113)</f>
        <v/>
      </c>
      <c r="K113" s="21" t="str">
        <f aca="false">IF(OR(B113="",G113=""),"",INDEX(Settings!$G$14:$G$21,MATCH(G113,Settings!$E$14:$E$21,0)))</f>
        <v/>
      </c>
      <c r="L113" s="26"/>
      <c r="M113" s="26"/>
      <c r="N113" s="22"/>
      <c r="O113" s="26"/>
      <c r="P113" s="27" t="str">
        <f aca="false">IF(OR(B113="",O113="",G113="Lost"),"",O113-Settings!$C$6)</f>
        <v/>
      </c>
      <c r="Q113" s="21" t="str">
        <f aca="false">IF(P113="","",IF(P113&lt;0,"Overdue",IF(P113&lt;=7,"Due this week","Upcoming")))</f>
        <v/>
      </c>
      <c r="R113" s="26"/>
      <c r="S113" s="28" t="str">
        <f aca="false">IF(AND(G113="7 · Past client",R113&lt;&gt;""),R113+90,"")</f>
        <v/>
      </c>
      <c r="T113" s="22"/>
      <c r="U113" s="29" t="n">
        <f aca="false">IF(P113="",0,1)</f>
        <v>0</v>
      </c>
      <c r="V113" s="29" t="str">
        <f aca="false">IF(U113=0,"",COUNTIFS($U$5:$U$154,1,$O$5:$O$154,"&lt;"&amp;O113)+COUNTIFS($U$5:$U113,1,$O$5:$O113,O113))</f>
        <v/>
      </c>
    </row>
    <row r="114" customFormat="false" ht="15" hidden="false" customHeight="false" outlineLevel="0" collapsed="false">
      <c r="A114" s="21" t="str">
        <f aca="false">IF(B114="","","C"&amp;TEXT(ROW()-4,"000"))</f>
        <v/>
      </c>
      <c r="B114" s="22"/>
      <c r="C114" s="22"/>
      <c r="D114" s="22"/>
      <c r="E114" s="22"/>
      <c r="F114" s="22"/>
      <c r="G114" s="22"/>
      <c r="H114" s="23"/>
      <c r="I114" s="24" t="str">
        <f aca="false">IF(OR(B114="",G114=""),"",INDEX(Settings!$F$14:$F$21,MATCH(G114,Settings!$E$14:$E$21,0)))</f>
        <v/>
      </c>
      <c r="J114" s="25" t="str">
        <f aca="false">IF(OR(I114="",H114=""),"",H114*I114)</f>
        <v/>
      </c>
      <c r="K114" s="21" t="str">
        <f aca="false">IF(OR(B114="",G114=""),"",INDEX(Settings!$G$14:$G$21,MATCH(G114,Settings!$E$14:$E$21,0)))</f>
        <v/>
      </c>
      <c r="L114" s="26"/>
      <c r="M114" s="26"/>
      <c r="N114" s="22"/>
      <c r="O114" s="26"/>
      <c r="P114" s="27" t="str">
        <f aca="false">IF(OR(B114="",O114="",G114="Lost"),"",O114-Settings!$C$6)</f>
        <v/>
      </c>
      <c r="Q114" s="21" t="str">
        <f aca="false">IF(P114="","",IF(P114&lt;0,"Overdue",IF(P114&lt;=7,"Due this week","Upcoming")))</f>
        <v/>
      </c>
      <c r="R114" s="26"/>
      <c r="S114" s="28" t="str">
        <f aca="false">IF(AND(G114="7 · Past client",R114&lt;&gt;""),R114+90,"")</f>
        <v/>
      </c>
      <c r="T114" s="22"/>
      <c r="U114" s="29" t="n">
        <f aca="false">IF(P114="",0,1)</f>
        <v>0</v>
      </c>
      <c r="V114" s="29" t="str">
        <f aca="false">IF(U114=0,"",COUNTIFS($U$5:$U$154,1,$O$5:$O$154,"&lt;"&amp;O114)+COUNTIFS($U$5:$U114,1,$O$5:$O114,O114))</f>
        <v/>
      </c>
    </row>
    <row r="115" customFormat="false" ht="15" hidden="false" customHeight="false" outlineLevel="0" collapsed="false">
      <c r="A115" s="21" t="str">
        <f aca="false">IF(B115="","","C"&amp;TEXT(ROW()-4,"000"))</f>
        <v/>
      </c>
      <c r="B115" s="22"/>
      <c r="C115" s="22"/>
      <c r="D115" s="22"/>
      <c r="E115" s="22"/>
      <c r="F115" s="22"/>
      <c r="G115" s="22"/>
      <c r="H115" s="23"/>
      <c r="I115" s="24" t="str">
        <f aca="false">IF(OR(B115="",G115=""),"",INDEX(Settings!$F$14:$F$21,MATCH(G115,Settings!$E$14:$E$21,0)))</f>
        <v/>
      </c>
      <c r="J115" s="25" t="str">
        <f aca="false">IF(OR(I115="",H115=""),"",H115*I115)</f>
        <v/>
      </c>
      <c r="K115" s="21" t="str">
        <f aca="false">IF(OR(B115="",G115=""),"",INDEX(Settings!$G$14:$G$21,MATCH(G115,Settings!$E$14:$E$21,0)))</f>
        <v/>
      </c>
      <c r="L115" s="26"/>
      <c r="M115" s="26"/>
      <c r="N115" s="22"/>
      <c r="O115" s="26"/>
      <c r="P115" s="27" t="str">
        <f aca="false">IF(OR(B115="",O115="",G115="Lost"),"",O115-Settings!$C$6)</f>
        <v/>
      </c>
      <c r="Q115" s="21" t="str">
        <f aca="false">IF(P115="","",IF(P115&lt;0,"Overdue",IF(P115&lt;=7,"Due this week","Upcoming")))</f>
        <v/>
      </c>
      <c r="R115" s="26"/>
      <c r="S115" s="28" t="str">
        <f aca="false">IF(AND(G115="7 · Past client",R115&lt;&gt;""),R115+90,"")</f>
        <v/>
      </c>
      <c r="T115" s="22"/>
      <c r="U115" s="29" t="n">
        <f aca="false">IF(P115="",0,1)</f>
        <v>0</v>
      </c>
      <c r="V115" s="29" t="str">
        <f aca="false">IF(U115=0,"",COUNTIFS($U$5:$U$154,1,$O$5:$O$154,"&lt;"&amp;O115)+COUNTIFS($U$5:$U115,1,$O$5:$O115,O115))</f>
        <v/>
      </c>
    </row>
    <row r="116" customFormat="false" ht="15" hidden="false" customHeight="false" outlineLevel="0" collapsed="false">
      <c r="A116" s="21" t="str">
        <f aca="false">IF(B116="","","C"&amp;TEXT(ROW()-4,"000"))</f>
        <v/>
      </c>
      <c r="B116" s="22"/>
      <c r="C116" s="22"/>
      <c r="D116" s="22"/>
      <c r="E116" s="22"/>
      <c r="F116" s="22"/>
      <c r="G116" s="22"/>
      <c r="H116" s="23"/>
      <c r="I116" s="24" t="str">
        <f aca="false">IF(OR(B116="",G116=""),"",INDEX(Settings!$F$14:$F$21,MATCH(G116,Settings!$E$14:$E$21,0)))</f>
        <v/>
      </c>
      <c r="J116" s="25" t="str">
        <f aca="false">IF(OR(I116="",H116=""),"",H116*I116)</f>
        <v/>
      </c>
      <c r="K116" s="21" t="str">
        <f aca="false">IF(OR(B116="",G116=""),"",INDEX(Settings!$G$14:$G$21,MATCH(G116,Settings!$E$14:$E$21,0)))</f>
        <v/>
      </c>
      <c r="L116" s="26"/>
      <c r="M116" s="26"/>
      <c r="N116" s="22"/>
      <c r="O116" s="26"/>
      <c r="P116" s="27" t="str">
        <f aca="false">IF(OR(B116="",O116="",G116="Lost"),"",O116-Settings!$C$6)</f>
        <v/>
      </c>
      <c r="Q116" s="21" t="str">
        <f aca="false">IF(P116="","",IF(P116&lt;0,"Overdue",IF(P116&lt;=7,"Due this week","Upcoming")))</f>
        <v/>
      </c>
      <c r="R116" s="26"/>
      <c r="S116" s="28" t="str">
        <f aca="false">IF(AND(G116="7 · Past client",R116&lt;&gt;""),R116+90,"")</f>
        <v/>
      </c>
      <c r="T116" s="22"/>
      <c r="U116" s="29" t="n">
        <f aca="false">IF(P116="",0,1)</f>
        <v>0</v>
      </c>
      <c r="V116" s="29" t="str">
        <f aca="false">IF(U116=0,"",COUNTIFS($U$5:$U$154,1,$O$5:$O$154,"&lt;"&amp;O116)+COUNTIFS($U$5:$U116,1,$O$5:$O116,O116))</f>
        <v/>
      </c>
    </row>
    <row r="117" customFormat="false" ht="15" hidden="false" customHeight="false" outlineLevel="0" collapsed="false">
      <c r="A117" s="21" t="str">
        <f aca="false">IF(B117="","","C"&amp;TEXT(ROW()-4,"000"))</f>
        <v/>
      </c>
      <c r="B117" s="22"/>
      <c r="C117" s="22"/>
      <c r="D117" s="22"/>
      <c r="E117" s="22"/>
      <c r="F117" s="22"/>
      <c r="G117" s="22"/>
      <c r="H117" s="23"/>
      <c r="I117" s="24" t="str">
        <f aca="false">IF(OR(B117="",G117=""),"",INDEX(Settings!$F$14:$F$21,MATCH(G117,Settings!$E$14:$E$21,0)))</f>
        <v/>
      </c>
      <c r="J117" s="25" t="str">
        <f aca="false">IF(OR(I117="",H117=""),"",H117*I117)</f>
        <v/>
      </c>
      <c r="K117" s="21" t="str">
        <f aca="false">IF(OR(B117="",G117=""),"",INDEX(Settings!$G$14:$G$21,MATCH(G117,Settings!$E$14:$E$21,0)))</f>
        <v/>
      </c>
      <c r="L117" s="26"/>
      <c r="M117" s="26"/>
      <c r="N117" s="22"/>
      <c r="O117" s="26"/>
      <c r="P117" s="27" t="str">
        <f aca="false">IF(OR(B117="",O117="",G117="Lost"),"",O117-Settings!$C$6)</f>
        <v/>
      </c>
      <c r="Q117" s="21" t="str">
        <f aca="false">IF(P117="","",IF(P117&lt;0,"Overdue",IF(P117&lt;=7,"Due this week","Upcoming")))</f>
        <v/>
      </c>
      <c r="R117" s="26"/>
      <c r="S117" s="28" t="str">
        <f aca="false">IF(AND(G117="7 · Past client",R117&lt;&gt;""),R117+90,"")</f>
        <v/>
      </c>
      <c r="T117" s="22"/>
      <c r="U117" s="29" t="n">
        <f aca="false">IF(P117="",0,1)</f>
        <v>0</v>
      </c>
      <c r="V117" s="29" t="str">
        <f aca="false">IF(U117=0,"",COUNTIFS($U$5:$U$154,1,$O$5:$O$154,"&lt;"&amp;O117)+COUNTIFS($U$5:$U117,1,$O$5:$O117,O117))</f>
        <v/>
      </c>
    </row>
    <row r="118" customFormat="false" ht="15" hidden="false" customHeight="false" outlineLevel="0" collapsed="false">
      <c r="A118" s="21" t="str">
        <f aca="false">IF(B118="","","C"&amp;TEXT(ROW()-4,"000"))</f>
        <v/>
      </c>
      <c r="B118" s="22"/>
      <c r="C118" s="22"/>
      <c r="D118" s="22"/>
      <c r="E118" s="22"/>
      <c r="F118" s="22"/>
      <c r="G118" s="22"/>
      <c r="H118" s="23"/>
      <c r="I118" s="24" t="str">
        <f aca="false">IF(OR(B118="",G118=""),"",INDEX(Settings!$F$14:$F$21,MATCH(G118,Settings!$E$14:$E$21,0)))</f>
        <v/>
      </c>
      <c r="J118" s="25" t="str">
        <f aca="false">IF(OR(I118="",H118=""),"",H118*I118)</f>
        <v/>
      </c>
      <c r="K118" s="21" t="str">
        <f aca="false">IF(OR(B118="",G118=""),"",INDEX(Settings!$G$14:$G$21,MATCH(G118,Settings!$E$14:$E$21,0)))</f>
        <v/>
      </c>
      <c r="L118" s="26"/>
      <c r="M118" s="26"/>
      <c r="N118" s="22"/>
      <c r="O118" s="26"/>
      <c r="P118" s="27" t="str">
        <f aca="false">IF(OR(B118="",O118="",G118="Lost"),"",O118-Settings!$C$6)</f>
        <v/>
      </c>
      <c r="Q118" s="21" t="str">
        <f aca="false">IF(P118="","",IF(P118&lt;0,"Overdue",IF(P118&lt;=7,"Due this week","Upcoming")))</f>
        <v/>
      </c>
      <c r="R118" s="26"/>
      <c r="S118" s="28" t="str">
        <f aca="false">IF(AND(G118="7 · Past client",R118&lt;&gt;""),R118+90,"")</f>
        <v/>
      </c>
      <c r="T118" s="22"/>
      <c r="U118" s="29" t="n">
        <f aca="false">IF(P118="",0,1)</f>
        <v>0</v>
      </c>
      <c r="V118" s="29" t="str">
        <f aca="false">IF(U118=0,"",COUNTIFS($U$5:$U$154,1,$O$5:$O$154,"&lt;"&amp;O118)+COUNTIFS($U$5:$U118,1,$O$5:$O118,O118))</f>
        <v/>
      </c>
    </row>
    <row r="119" customFormat="false" ht="15" hidden="false" customHeight="false" outlineLevel="0" collapsed="false">
      <c r="A119" s="21" t="str">
        <f aca="false">IF(B119="","","C"&amp;TEXT(ROW()-4,"000"))</f>
        <v/>
      </c>
      <c r="B119" s="22"/>
      <c r="C119" s="22"/>
      <c r="D119" s="22"/>
      <c r="E119" s="22"/>
      <c r="F119" s="22"/>
      <c r="G119" s="22"/>
      <c r="H119" s="23"/>
      <c r="I119" s="24" t="str">
        <f aca="false">IF(OR(B119="",G119=""),"",INDEX(Settings!$F$14:$F$21,MATCH(G119,Settings!$E$14:$E$21,0)))</f>
        <v/>
      </c>
      <c r="J119" s="25" t="str">
        <f aca="false">IF(OR(I119="",H119=""),"",H119*I119)</f>
        <v/>
      </c>
      <c r="K119" s="21" t="str">
        <f aca="false">IF(OR(B119="",G119=""),"",INDEX(Settings!$G$14:$G$21,MATCH(G119,Settings!$E$14:$E$21,0)))</f>
        <v/>
      </c>
      <c r="L119" s="26"/>
      <c r="M119" s="26"/>
      <c r="N119" s="22"/>
      <c r="O119" s="26"/>
      <c r="P119" s="27" t="str">
        <f aca="false">IF(OR(B119="",O119="",G119="Lost"),"",O119-Settings!$C$6)</f>
        <v/>
      </c>
      <c r="Q119" s="21" t="str">
        <f aca="false">IF(P119="","",IF(P119&lt;0,"Overdue",IF(P119&lt;=7,"Due this week","Upcoming")))</f>
        <v/>
      </c>
      <c r="R119" s="26"/>
      <c r="S119" s="28" t="str">
        <f aca="false">IF(AND(G119="7 · Past client",R119&lt;&gt;""),R119+90,"")</f>
        <v/>
      </c>
      <c r="T119" s="22"/>
      <c r="U119" s="29" t="n">
        <f aca="false">IF(P119="",0,1)</f>
        <v>0</v>
      </c>
      <c r="V119" s="29" t="str">
        <f aca="false">IF(U119=0,"",COUNTIFS($U$5:$U$154,1,$O$5:$O$154,"&lt;"&amp;O119)+COUNTIFS($U$5:$U119,1,$O$5:$O119,O119))</f>
        <v/>
      </c>
    </row>
    <row r="120" customFormat="false" ht="15" hidden="false" customHeight="false" outlineLevel="0" collapsed="false">
      <c r="A120" s="21" t="str">
        <f aca="false">IF(B120="","","C"&amp;TEXT(ROW()-4,"000"))</f>
        <v/>
      </c>
      <c r="B120" s="22"/>
      <c r="C120" s="22"/>
      <c r="D120" s="22"/>
      <c r="E120" s="22"/>
      <c r="F120" s="22"/>
      <c r="G120" s="22"/>
      <c r="H120" s="23"/>
      <c r="I120" s="24" t="str">
        <f aca="false">IF(OR(B120="",G120=""),"",INDEX(Settings!$F$14:$F$21,MATCH(G120,Settings!$E$14:$E$21,0)))</f>
        <v/>
      </c>
      <c r="J120" s="25" t="str">
        <f aca="false">IF(OR(I120="",H120=""),"",H120*I120)</f>
        <v/>
      </c>
      <c r="K120" s="21" t="str">
        <f aca="false">IF(OR(B120="",G120=""),"",INDEX(Settings!$G$14:$G$21,MATCH(G120,Settings!$E$14:$E$21,0)))</f>
        <v/>
      </c>
      <c r="L120" s="26"/>
      <c r="M120" s="26"/>
      <c r="N120" s="22"/>
      <c r="O120" s="26"/>
      <c r="P120" s="27" t="str">
        <f aca="false">IF(OR(B120="",O120="",G120="Lost"),"",O120-Settings!$C$6)</f>
        <v/>
      </c>
      <c r="Q120" s="21" t="str">
        <f aca="false">IF(P120="","",IF(P120&lt;0,"Overdue",IF(P120&lt;=7,"Due this week","Upcoming")))</f>
        <v/>
      </c>
      <c r="R120" s="26"/>
      <c r="S120" s="28" t="str">
        <f aca="false">IF(AND(G120="7 · Past client",R120&lt;&gt;""),R120+90,"")</f>
        <v/>
      </c>
      <c r="T120" s="22"/>
      <c r="U120" s="29" t="n">
        <f aca="false">IF(P120="",0,1)</f>
        <v>0</v>
      </c>
      <c r="V120" s="29" t="str">
        <f aca="false">IF(U120=0,"",COUNTIFS($U$5:$U$154,1,$O$5:$O$154,"&lt;"&amp;O120)+COUNTIFS($U$5:$U120,1,$O$5:$O120,O120))</f>
        <v/>
      </c>
    </row>
    <row r="121" customFormat="false" ht="15" hidden="false" customHeight="false" outlineLevel="0" collapsed="false">
      <c r="A121" s="21" t="str">
        <f aca="false">IF(B121="","","C"&amp;TEXT(ROW()-4,"000"))</f>
        <v/>
      </c>
      <c r="B121" s="22"/>
      <c r="C121" s="22"/>
      <c r="D121" s="22"/>
      <c r="E121" s="22"/>
      <c r="F121" s="22"/>
      <c r="G121" s="22"/>
      <c r="H121" s="23"/>
      <c r="I121" s="24" t="str">
        <f aca="false">IF(OR(B121="",G121=""),"",INDEX(Settings!$F$14:$F$21,MATCH(G121,Settings!$E$14:$E$21,0)))</f>
        <v/>
      </c>
      <c r="J121" s="25" t="str">
        <f aca="false">IF(OR(I121="",H121=""),"",H121*I121)</f>
        <v/>
      </c>
      <c r="K121" s="21" t="str">
        <f aca="false">IF(OR(B121="",G121=""),"",INDEX(Settings!$G$14:$G$21,MATCH(G121,Settings!$E$14:$E$21,0)))</f>
        <v/>
      </c>
      <c r="L121" s="26"/>
      <c r="M121" s="26"/>
      <c r="N121" s="22"/>
      <c r="O121" s="26"/>
      <c r="P121" s="27" t="str">
        <f aca="false">IF(OR(B121="",O121="",G121="Lost"),"",O121-Settings!$C$6)</f>
        <v/>
      </c>
      <c r="Q121" s="21" t="str">
        <f aca="false">IF(P121="","",IF(P121&lt;0,"Overdue",IF(P121&lt;=7,"Due this week","Upcoming")))</f>
        <v/>
      </c>
      <c r="R121" s="26"/>
      <c r="S121" s="28" t="str">
        <f aca="false">IF(AND(G121="7 · Past client",R121&lt;&gt;""),R121+90,"")</f>
        <v/>
      </c>
      <c r="T121" s="22"/>
      <c r="U121" s="29" t="n">
        <f aca="false">IF(P121="",0,1)</f>
        <v>0</v>
      </c>
      <c r="V121" s="29" t="str">
        <f aca="false">IF(U121=0,"",COUNTIFS($U$5:$U$154,1,$O$5:$O$154,"&lt;"&amp;O121)+COUNTIFS($U$5:$U121,1,$O$5:$O121,O121))</f>
        <v/>
      </c>
    </row>
    <row r="122" customFormat="false" ht="15" hidden="false" customHeight="false" outlineLevel="0" collapsed="false">
      <c r="A122" s="21" t="str">
        <f aca="false">IF(B122="","","C"&amp;TEXT(ROW()-4,"000"))</f>
        <v/>
      </c>
      <c r="B122" s="22"/>
      <c r="C122" s="22"/>
      <c r="D122" s="22"/>
      <c r="E122" s="22"/>
      <c r="F122" s="22"/>
      <c r="G122" s="22"/>
      <c r="H122" s="23"/>
      <c r="I122" s="24" t="str">
        <f aca="false">IF(OR(B122="",G122=""),"",INDEX(Settings!$F$14:$F$21,MATCH(G122,Settings!$E$14:$E$21,0)))</f>
        <v/>
      </c>
      <c r="J122" s="25" t="str">
        <f aca="false">IF(OR(I122="",H122=""),"",H122*I122)</f>
        <v/>
      </c>
      <c r="K122" s="21" t="str">
        <f aca="false">IF(OR(B122="",G122=""),"",INDEX(Settings!$G$14:$G$21,MATCH(G122,Settings!$E$14:$E$21,0)))</f>
        <v/>
      </c>
      <c r="L122" s="26"/>
      <c r="M122" s="26"/>
      <c r="N122" s="22"/>
      <c r="O122" s="26"/>
      <c r="P122" s="27" t="str">
        <f aca="false">IF(OR(B122="",O122="",G122="Lost"),"",O122-Settings!$C$6)</f>
        <v/>
      </c>
      <c r="Q122" s="21" t="str">
        <f aca="false">IF(P122="","",IF(P122&lt;0,"Overdue",IF(P122&lt;=7,"Due this week","Upcoming")))</f>
        <v/>
      </c>
      <c r="R122" s="26"/>
      <c r="S122" s="28" t="str">
        <f aca="false">IF(AND(G122="7 · Past client",R122&lt;&gt;""),R122+90,"")</f>
        <v/>
      </c>
      <c r="T122" s="22"/>
      <c r="U122" s="29" t="n">
        <f aca="false">IF(P122="",0,1)</f>
        <v>0</v>
      </c>
      <c r="V122" s="29" t="str">
        <f aca="false">IF(U122=0,"",COUNTIFS($U$5:$U$154,1,$O$5:$O$154,"&lt;"&amp;O122)+COUNTIFS($U$5:$U122,1,$O$5:$O122,O122))</f>
        <v/>
      </c>
    </row>
    <row r="123" customFormat="false" ht="15" hidden="false" customHeight="false" outlineLevel="0" collapsed="false">
      <c r="A123" s="21" t="str">
        <f aca="false">IF(B123="","","C"&amp;TEXT(ROW()-4,"000"))</f>
        <v/>
      </c>
      <c r="B123" s="22"/>
      <c r="C123" s="22"/>
      <c r="D123" s="22"/>
      <c r="E123" s="22"/>
      <c r="F123" s="22"/>
      <c r="G123" s="22"/>
      <c r="H123" s="23"/>
      <c r="I123" s="24" t="str">
        <f aca="false">IF(OR(B123="",G123=""),"",INDEX(Settings!$F$14:$F$21,MATCH(G123,Settings!$E$14:$E$21,0)))</f>
        <v/>
      </c>
      <c r="J123" s="25" t="str">
        <f aca="false">IF(OR(I123="",H123=""),"",H123*I123)</f>
        <v/>
      </c>
      <c r="K123" s="21" t="str">
        <f aca="false">IF(OR(B123="",G123=""),"",INDEX(Settings!$G$14:$G$21,MATCH(G123,Settings!$E$14:$E$21,0)))</f>
        <v/>
      </c>
      <c r="L123" s="26"/>
      <c r="M123" s="26"/>
      <c r="N123" s="22"/>
      <c r="O123" s="26"/>
      <c r="P123" s="27" t="str">
        <f aca="false">IF(OR(B123="",O123="",G123="Lost"),"",O123-Settings!$C$6)</f>
        <v/>
      </c>
      <c r="Q123" s="21" t="str">
        <f aca="false">IF(P123="","",IF(P123&lt;0,"Overdue",IF(P123&lt;=7,"Due this week","Upcoming")))</f>
        <v/>
      </c>
      <c r="R123" s="26"/>
      <c r="S123" s="28" t="str">
        <f aca="false">IF(AND(G123="7 · Past client",R123&lt;&gt;""),R123+90,"")</f>
        <v/>
      </c>
      <c r="T123" s="22"/>
      <c r="U123" s="29" t="n">
        <f aca="false">IF(P123="",0,1)</f>
        <v>0</v>
      </c>
      <c r="V123" s="29" t="str">
        <f aca="false">IF(U123=0,"",COUNTIFS($U$5:$U$154,1,$O$5:$O$154,"&lt;"&amp;O123)+COUNTIFS($U$5:$U123,1,$O$5:$O123,O123))</f>
        <v/>
      </c>
    </row>
    <row r="124" customFormat="false" ht="15" hidden="false" customHeight="false" outlineLevel="0" collapsed="false">
      <c r="A124" s="21" t="str">
        <f aca="false">IF(B124="","","C"&amp;TEXT(ROW()-4,"000"))</f>
        <v/>
      </c>
      <c r="B124" s="22"/>
      <c r="C124" s="22"/>
      <c r="D124" s="22"/>
      <c r="E124" s="22"/>
      <c r="F124" s="22"/>
      <c r="G124" s="22"/>
      <c r="H124" s="23"/>
      <c r="I124" s="24" t="str">
        <f aca="false">IF(OR(B124="",G124=""),"",INDEX(Settings!$F$14:$F$21,MATCH(G124,Settings!$E$14:$E$21,0)))</f>
        <v/>
      </c>
      <c r="J124" s="25" t="str">
        <f aca="false">IF(OR(I124="",H124=""),"",H124*I124)</f>
        <v/>
      </c>
      <c r="K124" s="21" t="str">
        <f aca="false">IF(OR(B124="",G124=""),"",INDEX(Settings!$G$14:$G$21,MATCH(G124,Settings!$E$14:$E$21,0)))</f>
        <v/>
      </c>
      <c r="L124" s="26"/>
      <c r="M124" s="26"/>
      <c r="N124" s="22"/>
      <c r="O124" s="26"/>
      <c r="P124" s="27" t="str">
        <f aca="false">IF(OR(B124="",O124="",G124="Lost"),"",O124-Settings!$C$6)</f>
        <v/>
      </c>
      <c r="Q124" s="21" t="str">
        <f aca="false">IF(P124="","",IF(P124&lt;0,"Overdue",IF(P124&lt;=7,"Due this week","Upcoming")))</f>
        <v/>
      </c>
      <c r="R124" s="26"/>
      <c r="S124" s="28" t="str">
        <f aca="false">IF(AND(G124="7 · Past client",R124&lt;&gt;""),R124+90,"")</f>
        <v/>
      </c>
      <c r="T124" s="22"/>
      <c r="U124" s="29" t="n">
        <f aca="false">IF(P124="",0,1)</f>
        <v>0</v>
      </c>
      <c r="V124" s="29" t="str">
        <f aca="false">IF(U124=0,"",COUNTIFS($U$5:$U$154,1,$O$5:$O$154,"&lt;"&amp;O124)+COUNTIFS($U$5:$U124,1,$O$5:$O124,O124))</f>
        <v/>
      </c>
    </row>
    <row r="125" customFormat="false" ht="15" hidden="false" customHeight="false" outlineLevel="0" collapsed="false">
      <c r="A125" s="21" t="str">
        <f aca="false">IF(B125="","","C"&amp;TEXT(ROW()-4,"000"))</f>
        <v/>
      </c>
      <c r="B125" s="22"/>
      <c r="C125" s="22"/>
      <c r="D125" s="22"/>
      <c r="E125" s="22"/>
      <c r="F125" s="22"/>
      <c r="G125" s="22"/>
      <c r="H125" s="23"/>
      <c r="I125" s="24" t="str">
        <f aca="false">IF(OR(B125="",G125=""),"",INDEX(Settings!$F$14:$F$21,MATCH(G125,Settings!$E$14:$E$21,0)))</f>
        <v/>
      </c>
      <c r="J125" s="25" t="str">
        <f aca="false">IF(OR(I125="",H125=""),"",H125*I125)</f>
        <v/>
      </c>
      <c r="K125" s="21" t="str">
        <f aca="false">IF(OR(B125="",G125=""),"",INDEX(Settings!$G$14:$G$21,MATCH(G125,Settings!$E$14:$E$21,0)))</f>
        <v/>
      </c>
      <c r="L125" s="26"/>
      <c r="M125" s="26"/>
      <c r="N125" s="22"/>
      <c r="O125" s="26"/>
      <c r="P125" s="27" t="str">
        <f aca="false">IF(OR(B125="",O125="",G125="Lost"),"",O125-Settings!$C$6)</f>
        <v/>
      </c>
      <c r="Q125" s="21" t="str">
        <f aca="false">IF(P125="","",IF(P125&lt;0,"Overdue",IF(P125&lt;=7,"Due this week","Upcoming")))</f>
        <v/>
      </c>
      <c r="R125" s="26"/>
      <c r="S125" s="28" t="str">
        <f aca="false">IF(AND(G125="7 · Past client",R125&lt;&gt;""),R125+90,"")</f>
        <v/>
      </c>
      <c r="T125" s="22"/>
      <c r="U125" s="29" t="n">
        <f aca="false">IF(P125="",0,1)</f>
        <v>0</v>
      </c>
      <c r="V125" s="29" t="str">
        <f aca="false">IF(U125=0,"",COUNTIFS($U$5:$U$154,1,$O$5:$O$154,"&lt;"&amp;O125)+COUNTIFS($U$5:$U125,1,$O$5:$O125,O125))</f>
        <v/>
      </c>
    </row>
    <row r="126" customFormat="false" ht="15" hidden="false" customHeight="false" outlineLevel="0" collapsed="false">
      <c r="A126" s="21" t="str">
        <f aca="false">IF(B126="","","C"&amp;TEXT(ROW()-4,"000"))</f>
        <v/>
      </c>
      <c r="B126" s="22"/>
      <c r="C126" s="22"/>
      <c r="D126" s="22"/>
      <c r="E126" s="22"/>
      <c r="F126" s="22"/>
      <c r="G126" s="22"/>
      <c r="H126" s="23"/>
      <c r="I126" s="24" t="str">
        <f aca="false">IF(OR(B126="",G126=""),"",INDEX(Settings!$F$14:$F$21,MATCH(G126,Settings!$E$14:$E$21,0)))</f>
        <v/>
      </c>
      <c r="J126" s="25" t="str">
        <f aca="false">IF(OR(I126="",H126=""),"",H126*I126)</f>
        <v/>
      </c>
      <c r="K126" s="21" t="str">
        <f aca="false">IF(OR(B126="",G126=""),"",INDEX(Settings!$G$14:$G$21,MATCH(G126,Settings!$E$14:$E$21,0)))</f>
        <v/>
      </c>
      <c r="L126" s="26"/>
      <c r="M126" s="26"/>
      <c r="N126" s="22"/>
      <c r="O126" s="26"/>
      <c r="P126" s="27" t="str">
        <f aca="false">IF(OR(B126="",O126="",G126="Lost"),"",O126-Settings!$C$6)</f>
        <v/>
      </c>
      <c r="Q126" s="21" t="str">
        <f aca="false">IF(P126="","",IF(P126&lt;0,"Overdue",IF(P126&lt;=7,"Due this week","Upcoming")))</f>
        <v/>
      </c>
      <c r="R126" s="26"/>
      <c r="S126" s="28" t="str">
        <f aca="false">IF(AND(G126="7 · Past client",R126&lt;&gt;""),R126+90,"")</f>
        <v/>
      </c>
      <c r="T126" s="22"/>
      <c r="U126" s="29" t="n">
        <f aca="false">IF(P126="",0,1)</f>
        <v>0</v>
      </c>
      <c r="V126" s="29" t="str">
        <f aca="false">IF(U126=0,"",COUNTIFS($U$5:$U$154,1,$O$5:$O$154,"&lt;"&amp;O126)+COUNTIFS($U$5:$U126,1,$O$5:$O126,O126))</f>
        <v/>
      </c>
    </row>
    <row r="127" customFormat="false" ht="15" hidden="false" customHeight="false" outlineLevel="0" collapsed="false">
      <c r="A127" s="21" t="str">
        <f aca="false">IF(B127="","","C"&amp;TEXT(ROW()-4,"000"))</f>
        <v/>
      </c>
      <c r="B127" s="22"/>
      <c r="C127" s="22"/>
      <c r="D127" s="22"/>
      <c r="E127" s="22"/>
      <c r="F127" s="22"/>
      <c r="G127" s="22"/>
      <c r="H127" s="23"/>
      <c r="I127" s="24" t="str">
        <f aca="false">IF(OR(B127="",G127=""),"",INDEX(Settings!$F$14:$F$21,MATCH(G127,Settings!$E$14:$E$21,0)))</f>
        <v/>
      </c>
      <c r="J127" s="25" t="str">
        <f aca="false">IF(OR(I127="",H127=""),"",H127*I127)</f>
        <v/>
      </c>
      <c r="K127" s="21" t="str">
        <f aca="false">IF(OR(B127="",G127=""),"",INDEX(Settings!$G$14:$G$21,MATCH(G127,Settings!$E$14:$E$21,0)))</f>
        <v/>
      </c>
      <c r="L127" s="26"/>
      <c r="M127" s="26"/>
      <c r="N127" s="22"/>
      <c r="O127" s="26"/>
      <c r="P127" s="27" t="str">
        <f aca="false">IF(OR(B127="",O127="",G127="Lost"),"",O127-Settings!$C$6)</f>
        <v/>
      </c>
      <c r="Q127" s="21" t="str">
        <f aca="false">IF(P127="","",IF(P127&lt;0,"Overdue",IF(P127&lt;=7,"Due this week","Upcoming")))</f>
        <v/>
      </c>
      <c r="R127" s="26"/>
      <c r="S127" s="28" t="str">
        <f aca="false">IF(AND(G127="7 · Past client",R127&lt;&gt;""),R127+90,"")</f>
        <v/>
      </c>
      <c r="T127" s="22"/>
      <c r="U127" s="29" t="n">
        <f aca="false">IF(P127="",0,1)</f>
        <v>0</v>
      </c>
      <c r="V127" s="29" t="str">
        <f aca="false">IF(U127=0,"",COUNTIFS($U$5:$U$154,1,$O$5:$O$154,"&lt;"&amp;O127)+COUNTIFS($U$5:$U127,1,$O$5:$O127,O127))</f>
        <v/>
      </c>
    </row>
    <row r="128" customFormat="false" ht="15" hidden="false" customHeight="false" outlineLevel="0" collapsed="false">
      <c r="A128" s="21" t="str">
        <f aca="false">IF(B128="","","C"&amp;TEXT(ROW()-4,"000"))</f>
        <v/>
      </c>
      <c r="B128" s="22"/>
      <c r="C128" s="22"/>
      <c r="D128" s="22"/>
      <c r="E128" s="22"/>
      <c r="F128" s="22"/>
      <c r="G128" s="22"/>
      <c r="H128" s="23"/>
      <c r="I128" s="24" t="str">
        <f aca="false">IF(OR(B128="",G128=""),"",INDEX(Settings!$F$14:$F$21,MATCH(G128,Settings!$E$14:$E$21,0)))</f>
        <v/>
      </c>
      <c r="J128" s="25" t="str">
        <f aca="false">IF(OR(I128="",H128=""),"",H128*I128)</f>
        <v/>
      </c>
      <c r="K128" s="21" t="str">
        <f aca="false">IF(OR(B128="",G128=""),"",INDEX(Settings!$G$14:$G$21,MATCH(G128,Settings!$E$14:$E$21,0)))</f>
        <v/>
      </c>
      <c r="L128" s="26"/>
      <c r="M128" s="26"/>
      <c r="N128" s="22"/>
      <c r="O128" s="26"/>
      <c r="P128" s="27" t="str">
        <f aca="false">IF(OR(B128="",O128="",G128="Lost"),"",O128-Settings!$C$6)</f>
        <v/>
      </c>
      <c r="Q128" s="21" t="str">
        <f aca="false">IF(P128="","",IF(P128&lt;0,"Overdue",IF(P128&lt;=7,"Due this week","Upcoming")))</f>
        <v/>
      </c>
      <c r="R128" s="26"/>
      <c r="S128" s="28" t="str">
        <f aca="false">IF(AND(G128="7 · Past client",R128&lt;&gt;""),R128+90,"")</f>
        <v/>
      </c>
      <c r="T128" s="22"/>
      <c r="U128" s="29" t="n">
        <f aca="false">IF(P128="",0,1)</f>
        <v>0</v>
      </c>
      <c r="V128" s="29" t="str">
        <f aca="false">IF(U128=0,"",COUNTIFS($U$5:$U$154,1,$O$5:$O$154,"&lt;"&amp;O128)+COUNTIFS($U$5:$U128,1,$O$5:$O128,O128))</f>
        <v/>
      </c>
    </row>
    <row r="129" customFormat="false" ht="15" hidden="false" customHeight="false" outlineLevel="0" collapsed="false">
      <c r="A129" s="21" t="str">
        <f aca="false">IF(B129="","","C"&amp;TEXT(ROW()-4,"000"))</f>
        <v/>
      </c>
      <c r="B129" s="22"/>
      <c r="C129" s="22"/>
      <c r="D129" s="22"/>
      <c r="E129" s="22"/>
      <c r="F129" s="22"/>
      <c r="G129" s="22"/>
      <c r="H129" s="23"/>
      <c r="I129" s="24" t="str">
        <f aca="false">IF(OR(B129="",G129=""),"",INDEX(Settings!$F$14:$F$21,MATCH(G129,Settings!$E$14:$E$21,0)))</f>
        <v/>
      </c>
      <c r="J129" s="25" t="str">
        <f aca="false">IF(OR(I129="",H129=""),"",H129*I129)</f>
        <v/>
      </c>
      <c r="K129" s="21" t="str">
        <f aca="false">IF(OR(B129="",G129=""),"",INDEX(Settings!$G$14:$G$21,MATCH(G129,Settings!$E$14:$E$21,0)))</f>
        <v/>
      </c>
      <c r="L129" s="26"/>
      <c r="M129" s="26"/>
      <c r="N129" s="22"/>
      <c r="O129" s="26"/>
      <c r="P129" s="27" t="str">
        <f aca="false">IF(OR(B129="",O129="",G129="Lost"),"",O129-Settings!$C$6)</f>
        <v/>
      </c>
      <c r="Q129" s="21" t="str">
        <f aca="false">IF(P129="","",IF(P129&lt;0,"Overdue",IF(P129&lt;=7,"Due this week","Upcoming")))</f>
        <v/>
      </c>
      <c r="R129" s="26"/>
      <c r="S129" s="28" t="str">
        <f aca="false">IF(AND(G129="7 · Past client",R129&lt;&gt;""),R129+90,"")</f>
        <v/>
      </c>
      <c r="T129" s="22"/>
      <c r="U129" s="29" t="n">
        <f aca="false">IF(P129="",0,1)</f>
        <v>0</v>
      </c>
      <c r="V129" s="29" t="str">
        <f aca="false">IF(U129=0,"",COUNTIFS($U$5:$U$154,1,$O$5:$O$154,"&lt;"&amp;O129)+COUNTIFS($U$5:$U129,1,$O$5:$O129,O129))</f>
        <v/>
      </c>
    </row>
    <row r="130" customFormat="false" ht="15" hidden="false" customHeight="false" outlineLevel="0" collapsed="false">
      <c r="A130" s="21" t="str">
        <f aca="false">IF(B130="","","C"&amp;TEXT(ROW()-4,"000"))</f>
        <v/>
      </c>
      <c r="B130" s="22"/>
      <c r="C130" s="22"/>
      <c r="D130" s="22"/>
      <c r="E130" s="22"/>
      <c r="F130" s="22"/>
      <c r="G130" s="22"/>
      <c r="H130" s="23"/>
      <c r="I130" s="24" t="str">
        <f aca="false">IF(OR(B130="",G130=""),"",INDEX(Settings!$F$14:$F$21,MATCH(G130,Settings!$E$14:$E$21,0)))</f>
        <v/>
      </c>
      <c r="J130" s="25" t="str">
        <f aca="false">IF(OR(I130="",H130=""),"",H130*I130)</f>
        <v/>
      </c>
      <c r="K130" s="21" t="str">
        <f aca="false">IF(OR(B130="",G130=""),"",INDEX(Settings!$G$14:$G$21,MATCH(G130,Settings!$E$14:$E$21,0)))</f>
        <v/>
      </c>
      <c r="L130" s="26"/>
      <c r="M130" s="26"/>
      <c r="N130" s="22"/>
      <c r="O130" s="26"/>
      <c r="P130" s="27" t="str">
        <f aca="false">IF(OR(B130="",O130="",G130="Lost"),"",O130-Settings!$C$6)</f>
        <v/>
      </c>
      <c r="Q130" s="21" t="str">
        <f aca="false">IF(P130="","",IF(P130&lt;0,"Overdue",IF(P130&lt;=7,"Due this week","Upcoming")))</f>
        <v/>
      </c>
      <c r="R130" s="26"/>
      <c r="S130" s="28" t="str">
        <f aca="false">IF(AND(G130="7 · Past client",R130&lt;&gt;""),R130+90,"")</f>
        <v/>
      </c>
      <c r="T130" s="22"/>
      <c r="U130" s="29" t="n">
        <f aca="false">IF(P130="",0,1)</f>
        <v>0</v>
      </c>
      <c r="V130" s="29" t="str">
        <f aca="false">IF(U130=0,"",COUNTIFS($U$5:$U$154,1,$O$5:$O$154,"&lt;"&amp;O130)+COUNTIFS($U$5:$U130,1,$O$5:$O130,O130))</f>
        <v/>
      </c>
    </row>
    <row r="131" customFormat="false" ht="15" hidden="false" customHeight="false" outlineLevel="0" collapsed="false">
      <c r="A131" s="21" t="str">
        <f aca="false">IF(B131="","","C"&amp;TEXT(ROW()-4,"000"))</f>
        <v/>
      </c>
      <c r="B131" s="22"/>
      <c r="C131" s="22"/>
      <c r="D131" s="22"/>
      <c r="E131" s="22"/>
      <c r="F131" s="22"/>
      <c r="G131" s="22"/>
      <c r="H131" s="23"/>
      <c r="I131" s="24" t="str">
        <f aca="false">IF(OR(B131="",G131=""),"",INDEX(Settings!$F$14:$F$21,MATCH(G131,Settings!$E$14:$E$21,0)))</f>
        <v/>
      </c>
      <c r="J131" s="25" t="str">
        <f aca="false">IF(OR(I131="",H131=""),"",H131*I131)</f>
        <v/>
      </c>
      <c r="K131" s="21" t="str">
        <f aca="false">IF(OR(B131="",G131=""),"",INDEX(Settings!$G$14:$G$21,MATCH(G131,Settings!$E$14:$E$21,0)))</f>
        <v/>
      </c>
      <c r="L131" s="26"/>
      <c r="M131" s="26"/>
      <c r="N131" s="22"/>
      <c r="O131" s="26"/>
      <c r="P131" s="27" t="str">
        <f aca="false">IF(OR(B131="",O131="",G131="Lost"),"",O131-Settings!$C$6)</f>
        <v/>
      </c>
      <c r="Q131" s="21" t="str">
        <f aca="false">IF(P131="","",IF(P131&lt;0,"Overdue",IF(P131&lt;=7,"Due this week","Upcoming")))</f>
        <v/>
      </c>
      <c r="R131" s="26"/>
      <c r="S131" s="28" t="str">
        <f aca="false">IF(AND(G131="7 · Past client",R131&lt;&gt;""),R131+90,"")</f>
        <v/>
      </c>
      <c r="T131" s="22"/>
      <c r="U131" s="29" t="n">
        <f aca="false">IF(P131="",0,1)</f>
        <v>0</v>
      </c>
      <c r="V131" s="29" t="str">
        <f aca="false">IF(U131=0,"",COUNTIFS($U$5:$U$154,1,$O$5:$O$154,"&lt;"&amp;O131)+COUNTIFS($U$5:$U131,1,$O$5:$O131,O131))</f>
        <v/>
      </c>
    </row>
    <row r="132" customFormat="false" ht="15" hidden="false" customHeight="false" outlineLevel="0" collapsed="false">
      <c r="A132" s="21" t="str">
        <f aca="false">IF(B132="","","C"&amp;TEXT(ROW()-4,"000"))</f>
        <v/>
      </c>
      <c r="B132" s="22"/>
      <c r="C132" s="22"/>
      <c r="D132" s="22"/>
      <c r="E132" s="22"/>
      <c r="F132" s="22"/>
      <c r="G132" s="22"/>
      <c r="H132" s="23"/>
      <c r="I132" s="24" t="str">
        <f aca="false">IF(OR(B132="",G132=""),"",INDEX(Settings!$F$14:$F$21,MATCH(G132,Settings!$E$14:$E$21,0)))</f>
        <v/>
      </c>
      <c r="J132" s="25" t="str">
        <f aca="false">IF(OR(I132="",H132=""),"",H132*I132)</f>
        <v/>
      </c>
      <c r="K132" s="21" t="str">
        <f aca="false">IF(OR(B132="",G132=""),"",INDEX(Settings!$G$14:$G$21,MATCH(G132,Settings!$E$14:$E$21,0)))</f>
        <v/>
      </c>
      <c r="L132" s="26"/>
      <c r="M132" s="26"/>
      <c r="N132" s="22"/>
      <c r="O132" s="26"/>
      <c r="P132" s="27" t="str">
        <f aca="false">IF(OR(B132="",O132="",G132="Lost"),"",O132-Settings!$C$6)</f>
        <v/>
      </c>
      <c r="Q132" s="21" t="str">
        <f aca="false">IF(P132="","",IF(P132&lt;0,"Overdue",IF(P132&lt;=7,"Due this week","Upcoming")))</f>
        <v/>
      </c>
      <c r="R132" s="26"/>
      <c r="S132" s="28" t="str">
        <f aca="false">IF(AND(G132="7 · Past client",R132&lt;&gt;""),R132+90,"")</f>
        <v/>
      </c>
      <c r="T132" s="22"/>
      <c r="U132" s="29" t="n">
        <f aca="false">IF(P132="",0,1)</f>
        <v>0</v>
      </c>
      <c r="V132" s="29" t="str">
        <f aca="false">IF(U132=0,"",COUNTIFS($U$5:$U$154,1,$O$5:$O$154,"&lt;"&amp;O132)+COUNTIFS($U$5:$U132,1,$O$5:$O132,O132))</f>
        <v/>
      </c>
    </row>
    <row r="133" customFormat="false" ht="15" hidden="false" customHeight="false" outlineLevel="0" collapsed="false">
      <c r="A133" s="21" t="str">
        <f aca="false">IF(B133="","","C"&amp;TEXT(ROW()-4,"000"))</f>
        <v/>
      </c>
      <c r="B133" s="22"/>
      <c r="C133" s="22"/>
      <c r="D133" s="22"/>
      <c r="E133" s="22"/>
      <c r="F133" s="22"/>
      <c r="G133" s="22"/>
      <c r="H133" s="23"/>
      <c r="I133" s="24" t="str">
        <f aca="false">IF(OR(B133="",G133=""),"",INDEX(Settings!$F$14:$F$21,MATCH(G133,Settings!$E$14:$E$21,0)))</f>
        <v/>
      </c>
      <c r="J133" s="25" t="str">
        <f aca="false">IF(OR(I133="",H133=""),"",H133*I133)</f>
        <v/>
      </c>
      <c r="K133" s="21" t="str">
        <f aca="false">IF(OR(B133="",G133=""),"",INDEX(Settings!$G$14:$G$21,MATCH(G133,Settings!$E$14:$E$21,0)))</f>
        <v/>
      </c>
      <c r="L133" s="26"/>
      <c r="M133" s="26"/>
      <c r="N133" s="22"/>
      <c r="O133" s="26"/>
      <c r="P133" s="27" t="str">
        <f aca="false">IF(OR(B133="",O133="",G133="Lost"),"",O133-Settings!$C$6)</f>
        <v/>
      </c>
      <c r="Q133" s="21" t="str">
        <f aca="false">IF(P133="","",IF(P133&lt;0,"Overdue",IF(P133&lt;=7,"Due this week","Upcoming")))</f>
        <v/>
      </c>
      <c r="R133" s="26"/>
      <c r="S133" s="28" t="str">
        <f aca="false">IF(AND(G133="7 · Past client",R133&lt;&gt;""),R133+90,"")</f>
        <v/>
      </c>
      <c r="T133" s="22"/>
      <c r="U133" s="29" t="n">
        <f aca="false">IF(P133="",0,1)</f>
        <v>0</v>
      </c>
      <c r="V133" s="29" t="str">
        <f aca="false">IF(U133=0,"",COUNTIFS($U$5:$U$154,1,$O$5:$O$154,"&lt;"&amp;O133)+COUNTIFS($U$5:$U133,1,$O$5:$O133,O133))</f>
        <v/>
      </c>
    </row>
    <row r="134" customFormat="false" ht="15" hidden="false" customHeight="false" outlineLevel="0" collapsed="false">
      <c r="A134" s="21" t="str">
        <f aca="false">IF(B134="","","C"&amp;TEXT(ROW()-4,"000"))</f>
        <v/>
      </c>
      <c r="B134" s="22"/>
      <c r="C134" s="22"/>
      <c r="D134" s="22"/>
      <c r="E134" s="22"/>
      <c r="F134" s="22"/>
      <c r="G134" s="22"/>
      <c r="H134" s="23"/>
      <c r="I134" s="24" t="str">
        <f aca="false">IF(OR(B134="",G134=""),"",INDEX(Settings!$F$14:$F$21,MATCH(G134,Settings!$E$14:$E$21,0)))</f>
        <v/>
      </c>
      <c r="J134" s="25" t="str">
        <f aca="false">IF(OR(I134="",H134=""),"",H134*I134)</f>
        <v/>
      </c>
      <c r="K134" s="21" t="str">
        <f aca="false">IF(OR(B134="",G134=""),"",INDEX(Settings!$G$14:$G$21,MATCH(G134,Settings!$E$14:$E$21,0)))</f>
        <v/>
      </c>
      <c r="L134" s="26"/>
      <c r="M134" s="26"/>
      <c r="N134" s="22"/>
      <c r="O134" s="26"/>
      <c r="P134" s="27" t="str">
        <f aca="false">IF(OR(B134="",O134="",G134="Lost"),"",O134-Settings!$C$6)</f>
        <v/>
      </c>
      <c r="Q134" s="21" t="str">
        <f aca="false">IF(P134="","",IF(P134&lt;0,"Overdue",IF(P134&lt;=7,"Due this week","Upcoming")))</f>
        <v/>
      </c>
      <c r="R134" s="26"/>
      <c r="S134" s="28" t="str">
        <f aca="false">IF(AND(G134="7 · Past client",R134&lt;&gt;""),R134+90,"")</f>
        <v/>
      </c>
      <c r="T134" s="22"/>
      <c r="U134" s="29" t="n">
        <f aca="false">IF(P134="",0,1)</f>
        <v>0</v>
      </c>
      <c r="V134" s="29" t="str">
        <f aca="false">IF(U134=0,"",COUNTIFS($U$5:$U$154,1,$O$5:$O$154,"&lt;"&amp;O134)+COUNTIFS($U$5:$U134,1,$O$5:$O134,O134))</f>
        <v/>
      </c>
    </row>
    <row r="135" customFormat="false" ht="15" hidden="false" customHeight="false" outlineLevel="0" collapsed="false">
      <c r="A135" s="21" t="str">
        <f aca="false">IF(B135="","","C"&amp;TEXT(ROW()-4,"000"))</f>
        <v/>
      </c>
      <c r="B135" s="22"/>
      <c r="C135" s="22"/>
      <c r="D135" s="22"/>
      <c r="E135" s="22"/>
      <c r="F135" s="22"/>
      <c r="G135" s="22"/>
      <c r="H135" s="23"/>
      <c r="I135" s="24" t="str">
        <f aca="false">IF(OR(B135="",G135=""),"",INDEX(Settings!$F$14:$F$21,MATCH(G135,Settings!$E$14:$E$21,0)))</f>
        <v/>
      </c>
      <c r="J135" s="25" t="str">
        <f aca="false">IF(OR(I135="",H135=""),"",H135*I135)</f>
        <v/>
      </c>
      <c r="K135" s="21" t="str">
        <f aca="false">IF(OR(B135="",G135=""),"",INDEX(Settings!$G$14:$G$21,MATCH(G135,Settings!$E$14:$E$21,0)))</f>
        <v/>
      </c>
      <c r="L135" s="26"/>
      <c r="M135" s="26"/>
      <c r="N135" s="22"/>
      <c r="O135" s="26"/>
      <c r="P135" s="27" t="str">
        <f aca="false">IF(OR(B135="",O135="",G135="Lost"),"",O135-Settings!$C$6)</f>
        <v/>
      </c>
      <c r="Q135" s="21" t="str">
        <f aca="false">IF(P135="","",IF(P135&lt;0,"Overdue",IF(P135&lt;=7,"Due this week","Upcoming")))</f>
        <v/>
      </c>
      <c r="R135" s="26"/>
      <c r="S135" s="28" t="str">
        <f aca="false">IF(AND(G135="7 · Past client",R135&lt;&gt;""),R135+90,"")</f>
        <v/>
      </c>
      <c r="T135" s="22"/>
      <c r="U135" s="29" t="n">
        <f aca="false">IF(P135="",0,1)</f>
        <v>0</v>
      </c>
      <c r="V135" s="29" t="str">
        <f aca="false">IF(U135=0,"",COUNTIFS($U$5:$U$154,1,$O$5:$O$154,"&lt;"&amp;O135)+COUNTIFS($U$5:$U135,1,$O$5:$O135,O135))</f>
        <v/>
      </c>
    </row>
    <row r="136" customFormat="false" ht="15" hidden="false" customHeight="false" outlineLevel="0" collapsed="false">
      <c r="A136" s="21" t="str">
        <f aca="false">IF(B136="","","C"&amp;TEXT(ROW()-4,"000"))</f>
        <v/>
      </c>
      <c r="B136" s="22"/>
      <c r="C136" s="22"/>
      <c r="D136" s="22"/>
      <c r="E136" s="22"/>
      <c r="F136" s="22"/>
      <c r="G136" s="22"/>
      <c r="H136" s="23"/>
      <c r="I136" s="24" t="str">
        <f aca="false">IF(OR(B136="",G136=""),"",INDEX(Settings!$F$14:$F$21,MATCH(G136,Settings!$E$14:$E$21,0)))</f>
        <v/>
      </c>
      <c r="J136" s="25" t="str">
        <f aca="false">IF(OR(I136="",H136=""),"",H136*I136)</f>
        <v/>
      </c>
      <c r="K136" s="21" t="str">
        <f aca="false">IF(OR(B136="",G136=""),"",INDEX(Settings!$G$14:$G$21,MATCH(G136,Settings!$E$14:$E$21,0)))</f>
        <v/>
      </c>
      <c r="L136" s="26"/>
      <c r="M136" s="26"/>
      <c r="N136" s="22"/>
      <c r="O136" s="26"/>
      <c r="P136" s="27" t="str">
        <f aca="false">IF(OR(B136="",O136="",G136="Lost"),"",O136-Settings!$C$6)</f>
        <v/>
      </c>
      <c r="Q136" s="21" t="str">
        <f aca="false">IF(P136="","",IF(P136&lt;0,"Overdue",IF(P136&lt;=7,"Due this week","Upcoming")))</f>
        <v/>
      </c>
      <c r="R136" s="26"/>
      <c r="S136" s="28" t="str">
        <f aca="false">IF(AND(G136="7 · Past client",R136&lt;&gt;""),R136+90,"")</f>
        <v/>
      </c>
      <c r="T136" s="22"/>
      <c r="U136" s="29" t="n">
        <f aca="false">IF(P136="",0,1)</f>
        <v>0</v>
      </c>
      <c r="V136" s="29" t="str">
        <f aca="false">IF(U136=0,"",COUNTIFS($U$5:$U$154,1,$O$5:$O$154,"&lt;"&amp;O136)+COUNTIFS($U$5:$U136,1,$O$5:$O136,O136))</f>
        <v/>
      </c>
    </row>
    <row r="137" customFormat="false" ht="15" hidden="false" customHeight="false" outlineLevel="0" collapsed="false">
      <c r="A137" s="21" t="str">
        <f aca="false">IF(B137="","","C"&amp;TEXT(ROW()-4,"000"))</f>
        <v/>
      </c>
      <c r="B137" s="22"/>
      <c r="C137" s="22"/>
      <c r="D137" s="22"/>
      <c r="E137" s="22"/>
      <c r="F137" s="22"/>
      <c r="G137" s="22"/>
      <c r="H137" s="23"/>
      <c r="I137" s="24" t="str">
        <f aca="false">IF(OR(B137="",G137=""),"",INDEX(Settings!$F$14:$F$21,MATCH(G137,Settings!$E$14:$E$21,0)))</f>
        <v/>
      </c>
      <c r="J137" s="25" t="str">
        <f aca="false">IF(OR(I137="",H137=""),"",H137*I137)</f>
        <v/>
      </c>
      <c r="K137" s="21" t="str">
        <f aca="false">IF(OR(B137="",G137=""),"",INDEX(Settings!$G$14:$G$21,MATCH(G137,Settings!$E$14:$E$21,0)))</f>
        <v/>
      </c>
      <c r="L137" s="26"/>
      <c r="M137" s="26"/>
      <c r="N137" s="22"/>
      <c r="O137" s="26"/>
      <c r="P137" s="27" t="str">
        <f aca="false">IF(OR(B137="",O137="",G137="Lost"),"",O137-Settings!$C$6)</f>
        <v/>
      </c>
      <c r="Q137" s="21" t="str">
        <f aca="false">IF(P137="","",IF(P137&lt;0,"Overdue",IF(P137&lt;=7,"Due this week","Upcoming")))</f>
        <v/>
      </c>
      <c r="R137" s="26"/>
      <c r="S137" s="28" t="str">
        <f aca="false">IF(AND(G137="7 · Past client",R137&lt;&gt;""),R137+90,"")</f>
        <v/>
      </c>
      <c r="T137" s="22"/>
      <c r="U137" s="29" t="n">
        <f aca="false">IF(P137="",0,1)</f>
        <v>0</v>
      </c>
      <c r="V137" s="29" t="str">
        <f aca="false">IF(U137=0,"",COUNTIFS($U$5:$U$154,1,$O$5:$O$154,"&lt;"&amp;O137)+COUNTIFS($U$5:$U137,1,$O$5:$O137,O137))</f>
        <v/>
      </c>
    </row>
    <row r="138" customFormat="false" ht="15" hidden="false" customHeight="false" outlineLevel="0" collapsed="false">
      <c r="A138" s="21" t="str">
        <f aca="false">IF(B138="","","C"&amp;TEXT(ROW()-4,"000"))</f>
        <v/>
      </c>
      <c r="B138" s="22"/>
      <c r="C138" s="22"/>
      <c r="D138" s="22"/>
      <c r="E138" s="22"/>
      <c r="F138" s="22"/>
      <c r="G138" s="22"/>
      <c r="H138" s="23"/>
      <c r="I138" s="24" t="str">
        <f aca="false">IF(OR(B138="",G138=""),"",INDEX(Settings!$F$14:$F$21,MATCH(G138,Settings!$E$14:$E$21,0)))</f>
        <v/>
      </c>
      <c r="J138" s="25" t="str">
        <f aca="false">IF(OR(I138="",H138=""),"",H138*I138)</f>
        <v/>
      </c>
      <c r="K138" s="21" t="str">
        <f aca="false">IF(OR(B138="",G138=""),"",INDEX(Settings!$G$14:$G$21,MATCH(G138,Settings!$E$14:$E$21,0)))</f>
        <v/>
      </c>
      <c r="L138" s="26"/>
      <c r="M138" s="26"/>
      <c r="N138" s="22"/>
      <c r="O138" s="26"/>
      <c r="P138" s="27" t="str">
        <f aca="false">IF(OR(B138="",O138="",G138="Lost"),"",O138-Settings!$C$6)</f>
        <v/>
      </c>
      <c r="Q138" s="21" t="str">
        <f aca="false">IF(P138="","",IF(P138&lt;0,"Overdue",IF(P138&lt;=7,"Due this week","Upcoming")))</f>
        <v/>
      </c>
      <c r="R138" s="26"/>
      <c r="S138" s="28" t="str">
        <f aca="false">IF(AND(G138="7 · Past client",R138&lt;&gt;""),R138+90,"")</f>
        <v/>
      </c>
      <c r="T138" s="22"/>
      <c r="U138" s="29" t="n">
        <f aca="false">IF(P138="",0,1)</f>
        <v>0</v>
      </c>
      <c r="V138" s="29" t="str">
        <f aca="false">IF(U138=0,"",COUNTIFS($U$5:$U$154,1,$O$5:$O$154,"&lt;"&amp;O138)+COUNTIFS($U$5:$U138,1,$O$5:$O138,O138))</f>
        <v/>
      </c>
    </row>
    <row r="139" customFormat="false" ht="15" hidden="false" customHeight="false" outlineLevel="0" collapsed="false">
      <c r="A139" s="21" t="str">
        <f aca="false">IF(B139="","","C"&amp;TEXT(ROW()-4,"000"))</f>
        <v/>
      </c>
      <c r="B139" s="22"/>
      <c r="C139" s="22"/>
      <c r="D139" s="22"/>
      <c r="E139" s="22"/>
      <c r="F139" s="22"/>
      <c r="G139" s="22"/>
      <c r="H139" s="23"/>
      <c r="I139" s="24" t="str">
        <f aca="false">IF(OR(B139="",G139=""),"",INDEX(Settings!$F$14:$F$21,MATCH(G139,Settings!$E$14:$E$21,0)))</f>
        <v/>
      </c>
      <c r="J139" s="25" t="str">
        <f aca="false">IF(OR(I139="",H139=""),"",H139*I139)</f>
        <v/>
      </c>
      <c r="K139" s="21" t="str">
        <f aca="false">IF(OR(B139="",G139=""),"",INDEX(Settings!$G$14:$G$21,MATCH(G139,Settings!$E$14:$E$21,0)))</f>
        <v/>
      </c>
      <c r="L139" s="26"/>
      <c r="M139" s="26"/>
      <c r="N139" s="22"/>
      <c r="O139" s="26"/>
      <c r="P139" s="27" t="str">
        <f aca="false">IF(OR(B139="",O139="",G139="Lost"),"",O139-Settings!$C$6)</f>
        <v/>
      </c>
      <c r="Q139" s="21" t="str">
        <f aca="false">IF(P139="","",IF(P139&lt;0,"Overdue",IF(P139&lt;=7,"Due this week","Upcoming")))</f>
        <v/>
      </c>
      <c r="R139" s="26"/>
      <c r="S139" s="28" t="str">
        <f aca="false">IF(AND(G139="7 · Past client",R139&lt;&gt;""),R139+90,"")</f>
        <v/>
      </c>
      <c r="T139" s="22"/>
      <c r="U139" s="29" t="n">
        <f aca="false">IF(P139="",0,1)</f>
        <v>0</v>
      </c>
      <c r="V139" s="29" t="str">
        <f aca="false">IF(U139=0,"",COUNTIFS($U$5:$U$154,1,$O$5:$O$154,"&lt;"&amp;O139)+COUNTIFS($U$5:$U139,1,$O$5:$O139,O139))</f>
        <v/>
      </c>
    </row>
    <row r="140" customFormat="false" ht="15" hidden="false" customHeight="false" outlineLevel="0" collapsed="false">
      <c r="A140" s="21" t="str">
        <f aca="false">IF(B140="","","C"&amp;TEXT(ROW()-4,"000"))</f>
        <v/>
      </c>
      <c r="B140" s="22"/>
      <c r="C140" s="22"/>
      <c r="D140" s="22"/>
      <c r="E140" s="22"/>
      <c r="F140" s="22"/>
      <c r="G140" s="22"/>
      <c r="H140" s="23"/>
      <c r="I140" s="24" t="str">
        <f aca="false">IF(OR(B140="",G140=""),"",INDEX(Settings!$F$14:$F$21,MATCH(G140,Settings!$E$14:$E$21,0)))</f>
        <v/>
      </c>
      <c r="J140" s="25" t="str">
        <f aca="false">IF(OR(I140="",H140=""),"",H140*I140)</f>
        <v/>
      </c>
      <c r="K140" s="21" t="str">
        <f aca="false">IF(OR(B140="",G140=""),"",INDEX(Settings!$G$14:$G$21,MATCH(G140,Settings!$E$14:$E$21,0)))</f>
        <v/>
      </c>
      <c r="L140" s="26"/>
      <c r="M140" s="26"/>
      <c r="N140" s="22"/>
      <c r="O140" s="26"/>
      <c r="P140" s="27" t="str">
        <f aca="false">IF(OR(B140="",O140="",G140="Lost"),"",O140-Settings!$C$6)</f>
        <v/>
      </c>
      <c r="Q140" s="21" t="str">
        <f aca="false">IF(P140="","",IF(P140&lt;0,"Overdue",IF(P140&lt;=7,"Due this week","Upcoming")))</f>
        <v/>
      </c>
      <c r="R140" s="26"/>
      <c r="S140" s="28" t="str">
        <f aca="false">IF(AND(G140="7 · Past client",R140&lt;&gt;""),R140+90,"")</f>
        <v/>
      </c>
      <c r="T140" s="22"/>
      <c r="U140" s="29" t="n">
        <f aca="false">IF(P140="",0,1)</f>
        <v>0</v>
      </c>
      <c r="V140" s="29" t="str">
        <f aca="false">IF(U140=0,"",COUNTIFS($U$5:$U$154,1,$O$5:$O$154,"&lt;"&amp;O140)+COUNTIFS($U$5:$U140,1,$O$5:$O140,O140))</f>
        <v/>
      </c>
    </row>
    <row r="141" customFormat="false" ht="15" hidden="false" customHeight="false" outlineLevel="0" collapsed="false">
      <c r="A141" s="21" t="str">
        <f aca="false">IF(B141="","","C"&amp;TEXT(ROW()-4,"000"))</f>
        <v/>
      </c>
      <c r="B141" s="22"/>
      <c r="C141" s="22"/>
      <c r="D141" s="22"/>
      <c r="E141" s="22"/>
      <c r="F141" s="22"/>
      <c r="G141" s="22"/>
      <c r="H141" s="23"/>
      <c r="I141" s="24" t="str">
        <f aca="false">IF(OR(B141="",G141=""),"",INDEX(Settings!$F$14:$F$21,MATCH(G141,Settings!$E$14:$E$21,0)))</f>
        <v/>
      </c>
      <c r="J141" s="25" t="str">
        <f aca="false">IF(OR(I141="",H141=""),"",H141*I141)</f>
        <v/>
      </c>
      <c r="K141" s="21" t="str">
        <f aca="false">IF(OR(B141="",G141=""),"",INDEX(Settings!$G$14:$G$21,MATCH(G141,Settings!$E$14:$E$21,0)))</f>
        <v/>
      </c>
      <c r="L141" s="26"/>
      <c r="M141" s="26"/>
      <c r="N141" s="22"/>
      <c r="O141" s="26"/>
      <c r="P141" s="27" t="str">
        <f aca="false">IF(OR(B141="",O141="",G141="Lost"),"",O141-Settings!$C$6)</f>
        <v/>
      </c>
      <c r="Q141" s="21" t="str">
        <f aca="false">IF(P141="","",IF(P141&lt;0,"Overdue",IF(P141&lt;=7,"Due this week","Upcoming")))</f>
        <v/>
      </c>
      <c r="R141" s="26"/>
      <c r="S141" s="28" t="str">
        <f aca="false">IF(AND(G141="7 · Past client",R141&lt;&gt;""),R141+90,"")</f>
        <v/>
      </c>
      <c r="T141" s="22"/>
      <c r="U141" s="29" t="n">
        <f aca="false">IF(P141="",0,1)</f>
        <v>0</v>
      </c>
      <c r="V141" s="29" t="str">
        <f aca="false">IF(U141=0,"",COUNTIFS($U$5:$U$154,1,$O$5:$O$154,"&lt;"&amp;O141)+COUNTIFS($U$5:$U141,1,$O$5:$O141,O141))</f>
        <v/>
      </c>
    </row>
    <row r="142" customFormat="false" ht="15" hidden="false" customHeight="false" outlineLevel="0" collapsed="false">
      <c r="A142" s="21" t="str">
        <f aca="false">IF(B142="","","C"&amp;TEXT(ROW()-4,"000"))</f>
        <v/>
      </c>
      <c r="B142" s="22"/>
      <c r="C142" s="22"/>
      <c r="D142" s="22"/>
      <c r="E142" s="22"/>
      <c r="F142" s="22"/>
      <c r="G142" s="22"/>
      <c r="H142" s="23"/>
      <c r="I142" s="24" t="str">
        <f aca="false">IF(OR(B142="",G142=""),"",INDEX(Settings!$F$14:$F$21,MATCH(G142,Settings!$E$14:$E$21,0)))</f>
        <v/>
      </c>
      <c r="J142" s="25" t="str">
        <f aca="false">IF(OR(I142="",H142=""),"",H142*I142)</f>
        <v/>
      </c>
      <c r="K142" s="21" t="str">
        <f aca="false">IF(OR(B142="",G142=""),"",INDEX(Settings!$G$14:$G$21,MATCH(G142,Settings!$E$14:$E$21,0)))</f>
        <v/>
      </c>
      <c r="L142" s="26"/>
      <c r="M142" s="26"/>
      <c r="N142" s="22"/>
      <c r="O142" s="26"/>
      <c r="P142" s="27" t="str">
        <f aca="false">IF(OR(B142="",O142="",G142="Lost"),"",O142-Settings!$C$6)</f>
        <v/>
      </c>
      <c r="Q142" s="21" t="str">
        <f aca="false">IF(P142="","",IF(P142&lt;0,"Overdue",IF(P142&lt;=7,"Due this week","Upcoming")))</f>
        <v/>
      </c>
      <c r="R142" s="26"/>
      <c r="S142" s="28" t="str">
        <f aca="false">IF(AND(G142="7 · Past client",R142&lt;&gt;""),R142+90,"")</f>
        <v/>
      </c>
      <c r="T142" s="22"/>
      <c r="U142" s="29" t="n">
        <f aca="false">IF(P142="",0,1)</f>
        <v>0</v>
      </c>
      <c r="V142" s="29" t="str">
        <f aca="false">IF(U142=0,"",COUNTIFS($U$5:$U$154,1,$O$5:$O$154,"&lt;"&amp;O142)+COUNTIFS($U$5:$U142,1,$O$5:$O142,O142))</f>
        <v/>
      </c>
    </row>
    <row r="143" customFormat="false" ht="15" hidden="false" customHeight="false" outlineLevel="0" collapsed="false">
      <c r="A143" s="21" t="str">
        <f aca="false">IF(B143="","","C"&amp;TEXT(ROW()-4,"000"))</f>
        <v/>
      </c>
      <c r="B143" s="22"/>
      <c r="C143" s="22"/>
      <c r="D143" s="22"/>
      <c r="E143" s="22"/>
      <c r="F143" s="22"/>
      <c r="G143" s="22"/>
      <c r="H143" s="23"/>
      <c r="I143" s="24" t="str">
        <f aca="false">IF(OR(B143="",G143=""),"",INDEX(Settings!$F$14:$F$21,MATCH(G143,Settings!$E$14:$E$21,0)))</f>
        <v/>
      </c>
      <c r="J143" s="25" t="str">
        <f aca="false">IF(OR(I143="",H143=""),"",H143*I143)</f>
        <v/>
      </c>
      <c r="K143" s="21" t="str">
        <f aca="false">IF(OR(B143="",G143=""),"",INDEX(Settings!$G$14:$G$21,MATCH(G143,Settings!$E$14:$E$21,0)))</f>
        <v/>
      </c>
      <c r="L143" s="26"/>
      <c r="M143" s="26"/>
      <c r="N143" s="22"/>
      <c r="O143" s="26"/>
      <c r="P143" s="27" t="str">
        <f aca="false">IF(OR(B143="",O143="",G143="Lost"),"",O143-Settings!$C$6)</f>
        <v/>
      </c>
      <c r="Q143" s="21" t="str">
        <f aca="false">IF(P143="","",IF(P143&lt;0,"Overdue",IF(P143&lt;=7,"Due this week","Upcoming")))</f>
        <v/>
      </c>
      <c r="R143" s="26"/>
      <c r="S143" s="28" t="str">
        <f aca="false">IF(AND(G143="7 · Past client",R143&lt;&gt;""),R143+90,"")</f>
        <v/>
      </c>
      <c r="T143" s="22"/>
      <c r="U143" s="29" t="n">
        <f aca="false">IF(P143="",0,1)</f>
        <v>0</v>
      </c>
      <c r="V143" s="29" t="str">
        <f aca="false">IF(U143=0,"",COUNTIFS($U$5:$U$154,1,$O$5:$O$154,"&lt;"&amp;O143)+COUNTIFS($U$5:$U143,1,$O$5:$O143,O143))</f>
        <v/>
      </c>
    </row>
    <row r="144" customFormat="false" ht="15" hidden="false" customHeight="false" outlineLevel="0" collapsed="false">
      <c r="A144" s="21" t="str">
        <f aca="false">IF(B144="","","C"&amp;TEXT(ROW()-4,"000"))</f>
        <v/>
      </c>
      <c r="B144" s="22"/>
      <c r="C144" s="22"/>
      <c r="D144" s="22"/>
      <c r="E144" s="22"/>
      <c r="F144" s="22"/>
      <c r="G144" s="22"/>
      <c r="H144" s="23"/>
      <c r="I144" s="24" t="str">
        <f aca="false">IF(OR(B144="",G144=""),"",INDEX(Settings!$F$14:$F$21,MATCH(G144,Settings!$E$14:$E$21,0)))</f>
        <v/>
      </c>
      <c r="J144" s="25" t="str">
        <f aca="false">IF(OR(I144="",H144=""),"",H144*I144)</f>
        <v/>
      </c>
      <c r="K144" s="21" t="str">
        <f aca="false">IF(OR(B144="",G144=""),"",INDEX(Settings!$G$14:$G$21,MATCH(G144,Settings!$E$14:$E$21,0)))</f>
        <v/>
      </c>
      <c r="L144" s="26"/>
      <c r="M144" s="26"/>
      <c r="N144" s="22"/>
      <c r="O144" s="26"/>
      <c r="P144" s="27" t="str">
        <f aca="false">IF(OR(B144="",O144="",G144="Lost"),"",O144-Settings!$C$6)</f>
        <v/>
      </c>
      <c r="Q144" s="21" t="str">
        <f aca="false">IF(P144="","",IF(P144&lt;0,"Overdue",IF(P144&lt;=7,"Due this week","Upcoming")))</f>
        <v/>
      </c>
      <c r="R144" s="26"/>
      <c r="S144" s="28" t="str">
        <f aca="false">IF(AND(G144="7 · Past client",R144&lt;&gt;""),R144+90,"")</f>
        <v/>
      </c>
      <c r="T144" s="22"/>
      <c r="U144" s="29" t="n">
        <f aca="false">IF(P144="",0,1)</f>
        <v>0</v>
      </c>
      <c r="V144" s="29" t="str">
        <f aca="false">IF(U144=0,"",COUNTIFS($U$5:$U$154,1,$O$5:$O$154,"&lt;"&amp;O144)+COUNTIFS($U$5:$U144,1,$O$5:$O144,O144))</f>
        <v/>
      </c>
    </row>
    <row r="145" customFormat="false" ht="15" hidden="false" customHeight="false" outlineLevel="0" collapsed="false">
      <c r="A145" s="21" t="str">
        <f aca="false">IF(B145="","","C"&amp;TEXT(ROW()-4,"000"))</f>
        <v/>
      </c>
      <c r="B145" s="22"/>
      <c r="C145" s="22"/>
      <c r="D145" s="22"/>
      <c r="E145" s="22"/>
      <c r="F145" s="22"/>
      <c r="G145" s="22"/>
      <c r="H145" s="23"/>
      <c r="I145" s="24" t="str">
        <f aca="false">IF(OR(B145="",G145=""),"",INDEX(Settings!$F$14:$F$21,MATCH(G145,Settings!$E$14:$E$21,0)))</f>
        <v/>
      </c>
      <c r="J145" s="25" t="str">
        <f aca="false">IF(OR(I145="",H145=""),"",H145*I145)</f>
        <v/>
      </c>
      <c r="K145" s="21" t="str">
        <f aca="false">IF(OR(B145="",G145=""),"",INDEX(Settings!$G$14:$G$21,MATCH(G145,Settings!$E$14:$E$21,0)))</f>
        <v/>
      </c>
      <c r="L145" s="26"/>
      <c r="M145" s="26"/>
      <c r="N145" s="22"/>
      <c r="O145" s="26"/>
      <c r="P145" s="27" t="str">
        <f aca="false">IF(OR(B145="",O145="",G145="Lost"),"",O145-Settings!$C$6)</f>
        <v/>
      </c>
      <c r="Q145" s="21" t="str">
        <f aca="false">IF(P145="","",IF(P145&lt;0,"Overdue",IF(P145&lt;=7,"Due this week","Upcoming")))</f>
        <v/>
      </c>
      <c r="R145" s="26"/>
      <c r="S145" s="28" t="str">
        <f aca="false">IF(AND(G145="7 · Past client",R145&lt;&gt;""),R145+90,"")</f>
        <v/>
      </c>
      <c r="T145" s="22"/>
      <c r="U145" s="29" t="n">
        <f aca="false">IF(P145="",0,1)</f>
        <v>0</v>
      </c>
      <c r="V145" s="29" t="str">
        <f aca="false">IF(U145=0,"",COUNTIFS($U$5:$U$154,1,$O$5:$O$154,"&lt;"&amp;O145)+COUNTIFS($U$5:$U145,1,$O$5:$O145,O145))</f>
        <v/>
      </c>
    </row>
    <row r="146" customFormat="false" ht="15" hidden="false" customHeight="false" outlineLevel="0" collapsed="false">
      <c r="A146" s="21" t="str">
        <f aca="false">IF(B146="","","C"&amp;TEXT(ROW()-4,"000"))</f>
        <v/>
      </c>
      <c r="B146" s="22"/>
      <c r="C146" s="22"/>
      <c r="D146" s="22"/>
      <c r="E146" s="22"/>
      <c r="F146" s="22"/>
      <c r="G146" s="22"/>
      <c r="H146" s="23"/>
      <c r="I146" s="24" t="str">
        <f aca="false">IF(OR(B146="",G146=""),"",INDEX(Settings!$F$14:$F$21,MATCH(G146,Settings!$E$14:$E$21,0)))</f>
        <v/>
      </c>
      <c r="J146" s="25" t="str">
        <f aca="false">IF(OR(I146="",H146=""),"",H146*I146)</f>
        <v/>
      </c>
      <c r="K146" s="21" t="str">
        <f aca="false">IF(OR(B146="",G146=""),"",INDEX(Settings!$G$14:$G$21,MATCH(G146,Settings!$E$14:$E$21,0)))</f>
        <v/>
      </c>
      <c r="L146" s="26"/>
      <c r="M146" s="26"/>
      <c r="N146" s="22"/>
      <c r="O146" s="26"/>
      <c r="P146" s="27" t="str">
        <f aca="false">IF(OR(B146="",O146="",G146="Lost"),"",O146-Settings!$C$6)</f>
        <v/>
      </c>
      <c r="Q146" s="21" t="str">
        <f aca="false">IF(P146="","",IF(P146&lt;0,"Overdue",IF(P146&lt;=7,"Due this week","Upcoming")))</f>
        <v/>
      </c>
      <c r="R146" s="26"/>
      <c r="S146" s="28" t="str">
        <f aca="false">IF(AND(G146="7 · Past client",R146&lt;&gt;""),R146+90,"")</f>
        <v/>
      </c>
      <c r="T146" s="22"/>
      <c r="U146" s="29" t="n">
        <f aca="false">IF(P146="",0,1)</f>
        <v>0</v>
      </c>
      <c r="V146" s="29" t="str">
        <f aca="false">IF(U146=0,"",COUNTIFS($U$5:$U$154,1,$O$5:$O$154,"&lt;"&amp;O146)+COUNTIFS($U$5:$U146,1,$O$5:$O146,O146))</f>
        <v/>
      </c>
    </row>
    <row r="147" customFormat="false" ht="15" hidden="false" customHeight="false" outlineLevel="0" collapsed="false">
      <c r="A147" s="21" t="str">
        <f aca="false">IF(B147="","","C"&amp;TEXT(ROW()-4,"000"))</f>
        <v/>
      </c>
      <c r="B147" s="22"/>
      <c r="C147" s="22"/>
      <c r="D147" s="22"/>
      <c r="E147" s="22"/>
      <c r="F147" s="22"/>
      <c r="G147" s="22"/>
      <c r="H147" s="23"/>
      <c r="I147" s="24" t="str">
        <f aca="false">IF(OR(B147="",G147=""),"",INDEX(Settings!$F$14:$F$21,MATCH(G147,Settings!$E$14:$E$21,0)))</f>
        <v/>
      </c>
      <c r="J147" s="25" t="str">
        <f aca="false">IF(OR(I147="",H147=""),"",H147*I147)</f>
        <v/>
      </c>
      <c r="K147" s="21" t="str">
        <f aca="false">IF(OR(B147="",G147=""),"",INDEX(Settings!$G$14:$G$21,MATCH(G147,Settings!$E$14:$E$21,0)))</f>
        <v/>
      </c>
      <c r="L147" s="26"/>
      <c r="M147" s="26"/>
      <c r="N147" s="22"/>
      <c r="O147" s="26"/>
      <c r="P147" s="27" t="str">
        <f aca="false">IF(OR(B147="",O147="",G147="Lost"),"",O147-Settings!$C$6)</f>
        <v/>
      </c>
      <c r="Q147" s="21" t="str">
        <f aca="false">IF(P147="","",IF(P147&lt;0,"Overdue",IF(P147&lt;=7,"Due this week","Upcoming")))</f>
        <v/>
      </c>
      <c r="R147" s="26"/>
      <c r="S147" s="28" t="str">
        <f aca="false">IF(AND(G147="7 · Past client",R147&lt;&gt;""),R147+90,"")</f>
        <v/>
      </c>
      <c r="T147" s="22"/>
      <c r="U147" s="29" t="n">
        <f aca="false">IF(P147="",0,1)</f>
        <v>0</v>
      </c>
      <c r="V147" s="29" t="str">
        <f aca="false">IF(U147=0,"",COUNTIFS($U$5:$U$154,1,$O$5:$O$154,"&lt;"&amp;O147)+COUNTIFS($U$5:$U147,1,$O$5:$O147,O147))</f>
        <v/>
      </c>
    </row>
    <row r="148" customFormat="false" ht="15" hidden="false" customHeight="false" outlineLevel="0" collapsed="false">
      <c r="A148" s="21" t="str">
        <f aca="false">IF(B148="","","C"&amp;TEXT(ROW()-4,"000"))</f>
        <v/>
      </c>
      <c r="B148" s="22"/>
      <c r="C148" s="22"/>
      <c r="D148" s="22"/>
      <c r="E148" s="22"/>
      <c r="F148" s="22"/>
      <c r="G148" s="22"/>
      <c r="H148" s="23"/>
      <c r="I148" s="24" t="str">
        <f aca="false">IF(OR(B148="",G148=""),"",INDEX(Settings!$F$14:$F$21,MATCH(G148,Settings!$E$14:$E$21,0)))</f>
        <v/>
      </c>
      <c r="J148" s="25" t="str">
        <f aca="false">IF(OR(I148="",H148=""),"",H148*I148)</f>
        <v/>
      </c>
      <c r="K148" s="21" t="str">
        <f aca="false">IF(OR(B148="",G148=""),"",INDEX(Settings!$G$14:$G$21,MATCH(G148,Settings!$E$14:$E$21,0)))</f>
        <v/>
      </c>
      <c r="L148" s="26"/>
      <c r="M148" s="26"/>
      <c r="N148" s="22"/>
      <c r="O148" s="26"/>
      <c r="P148" s="27" t="str">
        <f aca="false">IF(OR(B148="",O148="",G148="Lost"),"",O148-Settings!$C$6)</f>
        <v/>
      </c>
      <c r="Q148" s="21" t="str">
        <f aca="false">IF(P148="","",IF(P148&lt;0,"Overdue",IF(P148&lt;=7,"Due this week","Upcoming")))</f>
        <v/>
      </c>
      <c r="R148" s="26"/>
      <c r="S148" s="28" t="str">
        <f aca="false">IF(AND(G148="7 · Past client",R148&lt;&gt;""),R148+90,"")</f>
        <v/>
      </c>
      <c r="T148" s="22"/>
      <c r="U148" s="29" t="n">
        <f aca="false">IF(P148="",0,1)</f>
        <v>0</v>
      </c>
      <c r="V148" s="29" t="str">
        <f aca="false">IF(U148=0,"",COUNTIFS($U$5:$U$154,1,$O$5:$O$154,"&lt;"&amp;O148)+COUNTIFS($U$5:$U148,1,$O$5:$O148,O148))</f>
        <v/>
      </c>
    </row>
    <row r="149" customFormat="false" ht="15" hidden="false" customHeight="false" outlineLevel="0" collapsed="false">
      <c r="A149" s="21" t="str">
        <f aca="false">IF(B149="","","C"&amp;TEXT(ROW()-4,"000"))</f>
        <v/>
      </c>
      <c r="B149" s="22"/>
      <c r="C149" s="22"/>
      <c r="D149" s="22"/>
      <c r="E149" s="22"/>
      <c r="F149" s="22"/>
      <c r="G149" s="22"/>
      <c r="H149" s="23"/>
      <c r="I149" s="24" t="str">
        <f aca="false">IF(OR(B149="",G149=""),"",INDEX(Settings!$F$14:$F$21,MATCH(G149,Settings!$E$14:$E$21,0)))</f>
        <v/>
      </c>
      <c r="J149" s="25" t="str">
        <f aca="false">IF(OR(I149="",H149=""),"",H149*I149)</f>
        <v/>
      </c>
      <c r="K149" s="21" t="str">
        <f aca="false">IF(OR(B149="",G149=""),"",INDEX(Settings!$G$14:$G$21,MATCH(G149,Settings!$E$14:$E$21,0)))</f>
        <v/>
      </c>
      <c r="L149" s="26"/>
      <c r="M149" s="26"/>
      <c r="N149" s="22"/>
      <c r="O149" s="26"/>
      <c r="P149" s="27" t="str">
        <f aca="false">IF(OR(B149="",O149="",G149="Lost"),"",O149-Settings!$C$6)</f>
        <v/>
      </c>
      <c r="Q149" s="21" t="str">
        <f aca="false">IF(P149="","",IF(P149&lt;0,"Overdue",IF(P149&lt;=7,"Due this week","Upcoming")))</f>
        <v/>
      </c>
      <c r="R149" s="26"/>
      <c r="S149" s="28" t="str">
        <f aca="false">IF(AND(G149="7 · Past client",R149&lt;&gt;""),R149+90,"")</f>
        <v/>
      </c>
      <c r="T149" s="22"/>
      <c r="U149" s="29" t="n">
        <f aca="false">IF(P149="",0,1)</f>
        <v>0</v>
      </c>
      <c r="V149" s="29" t="str">
        <f aca="false">IF(U149=0,"",COUNTIFS($U$5:$U$154,1,$O$5:$O$154,"&lt;"&amp;O149)+COUNTIFS($U$5:$U149,1,$O$5:$O149,O149))</f>
        <v/>
      </c>
    </row>
    <row r="150" customFormat="false" ht="15" hidden="false" customHeight="false" outlineLevel="0" collapsed="false">
      <c r="A150" s="21" t="str">
        <f aca="false">IF(B150="","","C"&amp;TEXT(ROW()-4,"000"))</f>
        <v/>
      </c>
      <c r="B150" s="22"/>
      <c r="C150" s="22"/>
      <c r="D150" s="22"/>
      <c r="E150" s="22"/>
      <c r="F150" s="22"/>
      <c r="G150" s="22"/>
      <c r="H150" s="23"/>
      <c r="I150" s="24" t="str">
        <f aca="false">IF(OR(B150="",G150=""),"",INDEX(Settings!$F$14:$F$21,MATCH(G150,Settings!$E$14:$E$21,0)))</f>
        <v/>
      </c>
      <c r="J150" s="25" t="str">
        <f aca="false">IF(OR(I150="",H150=""),"",H150*I150)</f>
        <v/>
      </c>
      <c r="K150" s="21" t="str">
        <f aca="false">IF(OR(B150="",G150=""),"",INDEX(Settings!$G$14:$G$21,MATCH(G150,Settings!$E$14:$E$21,0)))</f>
        <v/>
      </c>
      <c r="L150" s="26"/>
      <c r="M150" s="26"/>
      <c r="N150" s="22"/>
      <c r="O150" s="26"/>
      <c r="P150" s="27" t="str">
        <f aca="false">IF(OR(B150="",O150="",G150="Lost"),"",O150-Settings!$C$6)</f>
        <v/>
      </c>
      <c r="Q150" s="21" t="str">
        <f aca="false">IF(P150="","",IF(P150&lt;0,"Overdue",IF(P150&lt;=7,"Due this week","Upcoming")))</f>
        <v/>
      </c>
      <c r="R150" s="26"/>
      <c r="S150" s="28" t="str">
        <f aca="false">IF(AND(G150="7 · Past client",R150&lt;&gt;""),R150+90,"")</f>
        <v/>
      </c>
      <c r="T150" s="22"/>
      <c r="U150" s="29" t="n">
        <f aca="false">IF(P150="",0,1)</f>
        <v>0</v>
      </c>
      <c r="V150" s="29" t="str">
        <f aca="false">IF(U150=0,"",COUNTIFS($U$5:$U$154,1,$O$5:$O$154,"&lt;"&amp;O150)+COUNTIFS($U$5:$U150,1,$O$5:$O150,O150))</f>
        <v/>
      </c>
    </row>
    <row r="151" customFormat="false" ht="15" hidden="false" customHeight="false" outlineLevel="0" collapsed="false">
      <c r="A151" s="21" t="str">
        <f aca="false">IF(B151="","","C"&amp;TEXT(ROW()-4,"000"))</f>
        <v/>
      </c>
      <c r="B151" s="22"/>
      <c r="C151" s="22"/>
      <c r="D151" s="22"/>
      <c r="E151" s="22"/>
      <c r="F151" s="22"/>
      <c r="G151" s="22"/>
      <c r="H151" s="23"/>
      <c r="I151" s="24" t="str">
        <f aca="false">IF(OR(B151="",G151=""),"",INDEX(Settings!$F$14:$F$21,MATCH(G151,Settings!$E$14:$E$21,0)))</f>
        <v/>
      </c>
      <c r="J151" s="25" t="str">
        <f aca="false">IF(OR(I151="",H151=""),"",H151*I151)</f>
        <v/>
      </c>
      <c r="K151" s="21" t="str">
        <f aca="false">IF(OR(B151="",G151=""),"",INDEX(Settings!$G$14:$G$21,MATCH(G151,Settings!$E$14:$E$21,0)))</f>
        <v/>
      </c>
      <c r="L151" s="26"/>
      <c r="M151" s="26"/>
      <c r="N151" s="22"/>
      <c r="O151" s="26"/>
      <c r="P151" s="27" t="str">
        <f aca="false">IF(OR(B151="",O151="",G151="Lost"),"",O151-Settings!$C$6)</f>
        <v/>
      </c>
      <c r="Q151" s="21" t="str">
        <f aca="false">IF(P151="","",IF(P151&lt;0,"Overdue",IF(P151&lt;=7,"Due this week","Upcoming")))</f>
        <v/>
      </c>
      <c r="R151" s="26"/>
      <c r="S151" s="28" t="str">
        <f aca="false">IF(AND(G151="7 · Past client",R151&lt;&gt;""),R151+90,"")</f>
        <v/>
      </c>
      <c r="T151" s="22"/>
      <c r="U151" s="29" t="n">
        <f aca="false">IF(P151="",0,1)</f>
        <v>0</v>
      </c>
      <c r="V151" s="29" t="str">
        <f aca="false">IF(U151=0,"",COUNTIFS($U$5:$U$154,1,$O$5:$O$154,"&lt;"&amp;O151)+COUNTIFS($U$5:$U151,1,$O$5:$O151,O151))</f>
        <v/>
      </c>
    </row>
    <row r="152" customFormat="false" ht="15" hidden="false" customHeight="false" outlineLevel="0" collapsed="false">
      <c r="A152" s="21" t="str">
        <f aca="false">IF(B152="","","C"&amp;TEXT(ROW()-4,"000"))</f>
        <v/>
      </c>
      <c r="B152" s="22"/>
      <c r="C152" s="22"/>
      <c r="D152" s="22"/>
      <c r="E152" s="22"/>
      <c r="F152" s="22"/>
      <c r="G152" s="22"/>
      <c r="H152" s="23"/>
      <c r="I152" s="24" t="str">
        <f aca="false">IF(OR(B152="",G152=""),"",INDEX(Settings!$F$14:$F$21,MATCH(G152,Settings!$E$14:$E$21,0)))</f>
        <v/>
      </c>
      <c r="J152" s="25" t="str">
        <f aca="false">IF(OR(I152="",H152=""),"",H152*I152)</f>
        <v/>
      </c>
      <c r="K152" s="21" t="str">
        <f aca="false">IF(OR(B152="",G152=""),"",INDEX(Settings!$G$14:$G$21,MATCH(G152,Settings!$E$14:$E$21,0)))</f>
        <v/>
      </c>
      <c r="L152" s="26"/>
      <c r="M152" s="26"/>
      <c r="N152" s="22"/>
      <c r="O152" s="26"/>
      <c r="P152" s="27" t="str">
        <f aca="false">IF(OR(B152="",O152="",G152="Lost"),"",O152-Settings!$C$6)</f>
        <v/>
      </c>
      <c r="Q152" s="21" t="str">
        <f aca="false">IF(P152="","",IF(P152&lt;0,"Overdue",IF(P152&lt;=7,"Due this week","Upcoming")))</f>
        <v/>
      </c>
      <c r="R152" s="26"/>
      <c r="S152" s="28" t="str">
        <f aca="false">IF(AND(G152="7 · Past client",R152&lt;&gt;""),R152+90,"")</f>
        <v/>
      </c>
      <c r="T152" s="22"/>
      <c r="U152" s="29" t="n">
        <f aca="false">IF(P152="",0,1)</f>
        <v>0</v>
      </c>
      <c r="V152" s="29" t="str">
        <f aca="false">IF(U152=0,"",COUNTIFS($U$5:$U$154,1,$O$5:$O$154,"&lt;"&amp;O152)+COUNTIFS($U$5:$U152,1,$O$5:$O152,O152))</f>
        <v/>
      </c>
    </row>
    <row r="153" customFormat="false" ht="15" hidden="false" customHeight="false" outlineLevel="0" collapsed="false">
      <c r="A153" s="21" t="str">
        <f aca="false">IF(B153="","","C"&amp;TEXT(ROW()-4,"000"))</f>
        <v/>
      </c>
      <c r="B153" s="22"/>
      <c r="C153" s="22"/>
      <c r="D153" s="22"/>
      <c r="E153" s="22"/>
      <c r="F153" s="22"/>
      <c r="G153" s="22"/>
      <c r="H153" s="23"/>
      <c r="I153" s="24" t="str">
        <f aca="false">IF(OR(B153="",G153=""),"",INDEX(Settings!$F$14:$F$21,MATCH(G153,Settings!$E$14:$E$21,0)))</f>
        <v/>
      </c>
      <c r="J153" s="25" t="str">
        <f aca="false">IF(OR(I153="",H153=""),"",H153*I153)</f>
        <v/>
      </c>
      <c r="K153" s="21" t="str">
        <f aca="false">IF(OR(B153="",G153=""),"",INDEX(Settings!$G$14:$G$21,MATCH(G153,Settings!$E$14:$E$21,0)))</f>
        <v/>
      </c>
      <c r="L153" s="26"/>
      <c r="M153" s="26"/>
      <c r="N153" s="22"/>
      <c r="O153" s="26"/>
      <c r="P153" s="27" t="str">
        <f aca="false">IF(OR(B153="",O153="",G153="Lost"),"",O153-Settings!$C$6)</f>
        <v/>
      </c>
      <c r="Q153" s="21" t="str">
        <f aca="false">IF(P153="","",IF(P153&lt;0,"Overdue",IF(P153&lt;=7,"Due this week","Upcoming")))</f>
        <v/>
      </c>
      <c r="R153" s="26"/>
      <c r="S153" s="28" t="str">
        <f aca="false">IF(AND(G153="7 · Past client",R153&lt;&gt;""),R153+90,"")</f>
        <v/>
      </c>
      <c r="T153" s="22"/>
      <c r="U153" s="29" t="n">
        <f aca="false">IF(P153="",0,1)</f>
        <v>0</v>
      </c>
      <c r="V153" s="29" t="str">
        <f aca="false">IF(U153=0,"",COUNTIFS($U$5:$U$154,1,$O$5:$O$154,"&lt;"&amp;O153)+COUNTIFS($U$5:$U153,1,$O$5:$O153,O153))</f>
        <v/>
      </c>
    </row>
    <row r="154" customFormat="false" ht="15" hidden="false" customHeight="false" outlineLevel="0" collapsed="false">
      <c r="A154" s="21" t="str">
        <f aca="false">IF(B154="","","C"&amp;TEXT(ROW()-4,"000"))</f>
        <v/>
      </c>
      <c r="B154" s="22"/>
      <c r="C154" s="22"/>
      <c r="D154" s="22"/>
      <c r="E154" s="22"/>
      <c r="F154" s="22"/>
      <c r="G154" s="22"/>
      <c r="H154" s="23"/>
      <c r="I154" s="24" t="str">
        <f aca="false">IF(OR(B154="",G154=""),"",INDEX(Settings!$F$14:$F$21,MATCH(G154,Settings!$E$14:$E$21,0)))</f>
        <v/>
      </c>
      <c r="J154" s="25" t="str">
        <f aca="false">IF(OR(I154="",H154=""),"",H154*I154)</f>
        <v/>
      </c>
      <c r="K154" s="21" t="str">
        <f aca="false">IF(OR(B154="",G154=""),"",INDEX(Settings!$G$14:$G$21,MATCH(G154,Settings!$E$14:$E$21,0)))</f>
        <v/>
      </c>
      <c r="L154" s="26"/>
      <c r="M154" s="26"/>
      <c r="N154" s="22"/>
      <c r="O154" s="26"/>
      <c r="P154" s="27" t="str">
        <f aca="false">IF(OR(B154="",O154="",G154="Lost"),"",O154-Settings!$C$6)</f>
        <v/>
      </c>
      <c r="Q154" s="21" t="str">
        <f aca="false">IF(P154="","",IF(P154&lt;0,"Overdue",IF(P154&lt;=7,"Due this week","Upcoming")))</f>
        <v/>
      </c>
      <c r="R154" s="26"/>
      <c r="S154" s="28" t="str">
        <f aca="false">IF(AND(G154="7 · Past client",R154&lt;&gt;""),R154+90,"")</f>
        <v/>
      </c>
      <c r="T154" s="22"/>
      <c r="U154" s="29" t="n">
        <f aca="false">IF(P154="",0,1)</f>
        <v>0</v>
      </c>
      <c r="V154" s="29" t="str">
        <f aca="false">IF(U154=0,"",COUNTIFS($U$5:$U$154,1,$O$5:$O$154,"&lt;"&amp;O154)+COUNTIFS($U$5:$U154,1,$O$5:$O154,O154))</f>
        <v/>
      </c>
    </row>
  </sheetData>
  <autoFilter ref="A4:T154"/>
  <conditionalFormatting sqref="Q5:Q154">
    <cfRule type="expression" priority="2" aboveAverage="0" equalAverage="0" bottom="0" percent="0" rank="0" text="" dxfId="9">
      <formula>Q5="Overdue"</formula>
    </cfRule>
    <cfRule type="expression" priority="3" aboveAverage="0" equalAverage="0" bottom="0" percent="0" rank="0" text="" dxfId="10">
      <formula>Q5="Due this week"</formula>
    </cfRule>
  </conditionalFormatting>
  <conditionalFormatting sqref="S5:S154">
    <cfRule type="expression" priority="4" aboveAverage="0" equalAverage="0" bottom="0" percent="0" rank="0" text="" dxfId="11">
      <formula>AND(S5&lt;&gt;"",S5&lt;=TODAY()+7)</formula>
    </cfRule>
  </conditionalFormatting>
  <dataValidations count="3">
    <dataValidation allowBlank="true" error="Please pick a value from the list (edit lists on the Settings tab)." errorStyle="stop" errorTitle="Not in list" operator="between" prompt="Pick the client's current stage." promptTitle="Choose from the list" showDropDown="false" showErrorMessage="true" showInputMessage="true" sqref="G5:G154" type="list">
      <formula1>Settings!$E$14:$E$21</formula1>
      <formula2>0</formula2>
    </dataValidation>
    <dataValidation allowBlank="true" error="Please pick a value from the list (edit lists on the Settings tab)." errorStyle="stop" errorTitle="Not in list" operator="between" showDropDown="false" showErrorMessage="true" showInputMessage="false" sqref="F5:F154" type="list">
      <formula1>Settings!$L$14:$L$22</formula1>
      <formula2>0</formula2>
    </dataValidation>
    <dataValidation allowBlank="true" error="Please pick a value from the list (edit lists on the Settings tab)." errorStyle="stop" errorTitle="Not in list" operator="between" showDropDown="false" showErrorMessage="true" showInputMessage="false" sqref="E5:E154" type="list">
      <formula1>Settings!$M$14:$M$25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8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3" min="12" style="0" width="13"/>
    <col collapsed="false" customWidth="true" hidden="false" outlineLevel="0" max="14" min="14" style="0" width="30"/>
  </cols>
  <sheetData>
    <row r="1" customFormat="false" ht="30" hidden="false" customHeight="true" outlineLevel="0" collapsed="false">
      <c r="A1" s="7" t="s">
        <v>123</v>
      </c>
    </row>
    <row r="2" customFormat="false" ht="15" hidden="false" customHeight="false" outlineLevel="0" collapsed="false">
      <c r="A2" s="2" t="s">
        <v>124</v>
      </c>
    </row>
    <row r="3" customFormat="false" ht="15" hidden="false" customHeight="false" outlineLevel="0" collapsed="false">
      <c r="A3" s="19" t="s">
        <v>58</v>
      </c>
    </row>
    <row r="4" customFormat="false" ht="33.75" hidden="false" customHeight="true" outlineLevel="0" collapsed="false">
      <c r="A4" s="13" t="s">
        <v>125</v>
      </c>
      <c r="B4" s="13" t="s">
        <v>39</v>
      </c>
      <c r="C4" s="13" t="s">
        <v>126</v>
      </c>
      <c r="D4" s="13" t="s">
        <v>127</v>
      </c>
      <c r="E4" s="13" t="s">
        <v>42</v>
      </c>
      <c r="F4" s="13" t="s">
        <v>128</v>
      </c>
      <c r="G4" s="13" t="s">
        <v>129</v>
      </c>
      <c r="H4" s="13" t="s">
        <v>130</v>
      </c>
      <c r="I4" s="13" t="s">
        <v>131</v>
      </c>
      <c r="J4" s="13" t="s">
        <v>132</v>
      </c>
      <c r="K4" s="13" t="s">
        <v>133</v>
      </c>
      <c r="L4" s="13" t="s">
        <v>134</v>
      </c>
      <c r="M4" s="13" t="s">
        <v>135</v>
      </c>
      <c r="N4" s="13" t="s">
        <v>76</v>
      </c>
    </row>
    <row r="5" customFormat="false" ht="15" hidden="false" customHeight="false" outlineLevel="0" collapsed="false">
      <c r="A5" s="22" t="s">
        <v>136</v>
      </c>
      <c r="B5" s="22" t="s">
        <v>79</v>
      </c>
      <c r="C5" s="26" t="n">
        <f aca="false">Settings!$C$6-40</f>
        <v>46249</v>
      </c>
      <c r="D5" s="26" t="n">
        <f aca="false">Settings!$C$6+20</f>
        <v>46309</v>
      </c>
      <c r="E5" s="22" t="s">
        <v>137</v>
      </c>
      <c r="F5" s="23" t="n">
        <v>4800</v>
      </c>
      <c r="G5" s="30" t="n">
        <v>0.5</v>
      </c>
      <c r="H5" s="25" t="n">
        <f aca="false">IF(OR(F5="",G5=""),"",F5*G5)</f>
        <v>2400</v>
      </c>
      <c r="I5" s="22" t="s">
        <v>138</v>
      </c>
      <c r="J5" s="26" t="n">
        <f aca="false">Settings!$C$6+3</f>
        <v>46292</v>
      </c>
      <c r="K5" s="27" t="n">
        <f aca="false">IF(OR(A5="",J5="",E5="Complete"),"",J5-Settings!$C$6)</f>
        <v>3</v>
      </c>
      <c r="L5" s="21" t="str">
        <f aca="false">IF(K5="","",IF(K5&lt;0,"Overdue",IF(K5&lt;=7,"This week","")))</f>
        <v>This week</v>
      </c>
      <c r="M5" s="22" t="s">
        <v>139</v>
      </c>
      <c r="N5" s="22" t="s">
        <v>86</v>
      </c>
    </row>
    <row r="6" customFormat="false" ht="15" hidden="false" customHeight="false" outlineLevel="0" collapsed="false">
      <c r="A6" s="22" t="s">
        <v>140</v>
      </c>
      <c r="B6" s="22" t="s">
        <v>100</v>
      </c>
      <c r="C6" s="26" t="n">
        <f aca="false">Settings!$C$6+2</f>
        <v>46291</v>
      </c>
      <c r="D6" s="26" t="n">
        <f aca="false">Settings!$C$6+50</f>
        <v>46339</v>
      </c>
      <c r="E6" s="22" t="s">
        <v>141</v>
      </c>
      <c r="F6" s="23" t="n">
        <v>5200</v>
      </c>
      <c r="G6" s="30" t="n">
        <v>0.5</v>
      </c>
      <c r="H6" s="25" t="n">
        <f aca="false">IF(OR(F6="",G6=""),"",F6*G6)</f>
        <v>2600</v>
      </c>
      <c r="I6" s="22" t="s">
        <v>142</v>
      </c>
      <c r="J6" s="26" t="n">
        <f aca="false">Settings!$C$6+5</f>
        <v>46294</v>
      </c>
      <c r="K6" s="27" t="n">
        <f aca="false">IF(OR(A6="",J6="",E6="Complete"),"",J6-Settings!$C$6)</f>
        <v>5</v>
      </c>
      <c r="L6" s="21" t="str">
        <f aca="false">IF(K6="","",IF(K6&lt;0,"Overdue",IF(K6&lt;=7,"This week","")))</f>
        <v>This week</v>
      </c>
      <c r="M6" s="22" t="s">
        <v>143</v>
      </c>
      <c r="N6" s="22" t="s">
        <v>86</v>
      </c>
    </row>
    <row r="7" customFormat="false" ht="15" hidden="false" customHeight="false" outlineLevel="0" collapsed="false">
      <c r="A7" s="22" t="s">
        <v>144</v>
      </c>
      <c r="B7" s="22" t="s">
        <v>113</v>
      </c>
      <c r="C7" s="26" t="n">
        <f aca="false">Settings!$C$6-80</f>
        <v>46209</v>
      </c>
      <c r="D7" s="26" t="n">
        <f aca="false">Settings!$C$6-10</f>
        <v>46279</v>
      </c>
      <c r="E7" s="22" t="s">
        <v>145</v>
      </c>
      <c r="F7" s="23" t="n">
        <v>3900</v>
      </c>
      <c r="G7" s="30" t="n">
        <v>0.5</v>
      </c>
      <c r="H7" s="25" t="n">
        <f aca="false">IF(OR(F7="",G7=""),"",F7*G7)</f>
        <v>1950</v>
      </c>
      <c r="I7" s="22"/>
      <c r="J7" s="26"/>
      <c r="K7" s="27" t="str">
        <f aca="false">IF(OR(A7="",J7="",E7="Complete"),"",J7-Settings!$C$6)</f>
        <v/>
      </c>
      <c r="L7" s="21" t="str">
        <f aca="false">IF(K7="","",IF(K7&lt;0,"Overdue",IF(K7&lt;=7,"This week","")))</f>
        <v/>
      </c>
      <c r="M7" s="22"/>
      <c r="N7" s="22" t="s">
        <v>86</v>
      </c>
    </row>
    <row r="8" customFormat="false" ht="15" hidden="false" customHeight="false" outlineLevel="0" collapsed="false">
      <c r="A8" s="22"/>
      <c r="B8" s="22"/>
      <c r="C8" s="26"/>
      <c r="D8" s="26"/>
      <c r="E8" s="22"/>
      <c r="F8" s="23"/>
      <c r="G8" s="30"/>
      <c r="H8" s="25" t="str">
        <f aca="false">IF(OR(F8="",G8=""),"",F8*G8)</f>
        <v/>
      </c>
      <c r="I8" s="22"/>
      <c r="J8" s="26"/>
      <c r="K8" s="27" t="str">
        <f aca="false">IF(OR(A8="",J8="",E8="Complete"),"",J8-Settings!$C$6)</f>
        <v/>
      </c>
      <c r="L8" s="21" t="str">
        <f aca="false">IF(K8="","",IF(K8&lt;0,"Overdue",IF(K8&lt;=7,"This week","")))</f>
        <v/>
      </c>
      <c r="M8" s="22"/>
      <c r="N8" s="22"/>
    </row>
    <row r="9" customFormat="false" ht="15" hidden="false" customHeight="false" outlineLevel="0" collapsed="false">
      <c r="A9" s="22"/>
      <c r="B9" s="22"/>
      <c r="C9" s="26"/>
      <c r="D9" s="26"/>
      <c r="E9" s="22"/>
      <c r="F9" s="23"/>
      <c r="G9" s="30"/>
      <c r="H9" s="25" t="str">
        <f aca="false">IF(OR(F9="",G9=""),"",F9*G9)</f>
        <v/>
      </c>
      <c r="I9" s="22"/>
      <c r="J9" s="26"/>
      <c r="K9" s="27" t="str">
        <f aca="false">IF(OR(A9="",J9="",E9="Complete"),"",J9-Settings!$C$6)</f>
        <v/>
      </c>
      <c r="L9" s="21" t="str">
        <f aca="false">IF(K9="","",IF(K9&lt;0,"Overdue",IF(K9&lt;=7,"This week","")))</f>
        <v/>
      </c>
      <c r="M9" s="22"/>
      <c r="N9" s="22"/>
    </row>
    <row r="10" customFormat="false" ht="15" hidden="false" customHeight="false" outlineLevel="0" collapsed="false">
      <c r="A10" s="22"/>
      <c r="B10" s="22"/>
      <c r="C10" s="26"/>
      <c r="D10" s="26"/>
      <c r="E10" s="22"/>
      <c r="F10" s="23"/>
      <c r="G10" s="30"/>
      <c r="H10" s="25" t="str">
        <f aca="false">IF(OR(F10="",G10=""),"",F10*G10)</f>
        <v/>
      </c>
      <c r="I10" s="22"/>
      <c r="J10" s="26"/>
      <c r="K10" s="27" t="str">
        <f aca="false">IF(OR(A10="",J10="",E10="Complete"),"",J10-Settings!$C$6)</f>
        <v/>
      </c>
      <c r="L10" s="21" t="str">
        <f aca="false">IF(K10="","",IF(K10&lt;0,"Overdue",IF(K10&lt;=7,"This week","")))</f>
        <v/>
      </c>
      <c r="M10" s="22"/>
      <c r="N10" s="22"/>
    </row>
    <row r="11" customFormat="false" ht="15" hidden="false" customHeight="false" outlineLevel="0" collapsed="false">
      <c r="A11" s="22"/>
      <c r="B11" s="22"/>
      <c r="C11" s="26"/>
      <c r="D11" s="26"/>
      <c r="E11" s="22"/>
      <c r="F11" s="23"/>
      <c r="G11" s="30"/>
      <c r="H11" s="25" t="str">
        <f aca="false">IF(OR(F11="",G11=""),"",F11*G11)</f>
        <v/>
      </c>
      <c r="I11" s="22"/>
      <c r="J11" s="26"/>
      <c r="K11" s="27" t="str">
        <f aca="false">IF(OR(A11="",J11="",E11="Complete"),"",J11-Settings!$C$6)</f>
        <v/>
      </c>
      <c r="L11" s="21" t="str">
        <f aca="false">IF(K11="","",IF(K11&lt;0,"Overdue",IF(K11&lt;=7,"This week","")))</f>
        <v/>
      </c>
      <c r="M11" s="22"/>
      <c r="N11" s="22"/>
    </row>
    <row r="12" customFormat="false" ht="15" hidden="false" customHeight="false" outlineLevel="0" collapsed="false">
      <c r="A12" s="22"/>
      <c r="B12" s="22"/>
      <c r="C12" s="26"/>
      <c r="D12" s="26"/>
      <c r="E12" s="22"/>
      <c r="F12" s="23"/>
      <c r="G12" s="30"/>
      <c r="H12" s="25" t="str">
        <f aca="false">IF(OR(F12="",G12=""),"",F12*G12)</f>
        <v/>
      </c>
      <c r="I12" s="22"/>
      <c r="J12" s="26"/>
      <c r="K12" s="27" t="str">
        <f aca="false">IF(OR(A12="",J12="",E12="Complete"),"",J12-Settings!$C$6)</f>
        <v/>
      </c>
      <c r="L12" s="21" t="str">
        <f aca="false">IF(K12="","",IF(K12&lt;0,"Overdue",IF(K12&lt;=7,"This week","")))</f>
        <v/>
      </c>
      <c r="M12" s="22"/>
      <c r="N12" s="22"/>
    </row>
    <row r="13" customFormat="false" ht="15" hidden="false" customHeight="false" outlineLevel="0" collapsed="false">
      <c r="A13" s="22"/>
      <c r="B13" s="22"/>
      <c r="C13" s="26"/>
      <c r="D13" s="26"/>
      <c r="E13" s="22"/>
      <c r="F13" s="23"/>
      <c r="G13" s="30"/>
      <c r="H13" s="25" t="str">
        <f aca="false">IF(OR(F13="",G13=""),"",F13*G13)</f>
        <v/>
      </c>
      <c r="I13" s="22"/>
      <c r="J13" s="26"/>
      <c r="K13" s="27" t="str">
        <f aca="false">IF(OR(A13="",J13="",E13="Complete"),"",J13-Settings!$C$6)</f>
        <v/>
      </c>
      <c r="L13" s="21" t="str">
        <f aca="false">IF(K13="","",IF(K13&lt;0,"Overdue",IF(K13&lt;=7,"This week","")))</f>
        <v/>
      </c>
      <c r="M13" s="22"/>
      <c r="N13" s="22"/>
    </row>
    <row r="14" customFormat="false" ht="15" hidden="false" customHeight="false" outlineLevel="0" collapsed="false">
      <c r="A14" s="22"/>
      <c r="B14" s="22"/>
      <c r="C14" s="26"/>
      <c r="D14" s="26"/>
      <c r="E14" s="22"/>
      <c r="F14" s="23"/>
      <c r="G14" s="30"/>
      <c r="H14" s="25" t="str">
        <f aca="false">IF(OR(F14="",G14=""),"",F14*G14)</f>
        <v/>
      </c>
      <c r="I14" s="22"/>
      <c r="J14" s="26"/>
      <c r="K14" s="27" t="str">
        <f aca="false">IF(OR(A14="",J14="",E14="Complete"),"",J14-Settings!$C$6)</f>
        <v/>
      </c>
      <c r="L14" s="21" t="str">
        <f aca="false">IF(K14="","",IF(K14&lt;0,"Overdue",IF(K14&lt;=7,"This week","")))</f>
        <v/>
      </c>
      <c r="M14" s="22"/>
      <c r="N14" s="22"/>
    </row>
    <row r="15" customFormat="false" ht="15" hidden="false" customHeight="false" outlineLevel="0" collapsed="false">
      <c r="A15" s="22"/>
      <c r="B15" s="22"/>
      <c r="C15" s="26"/>
      <c r="D15" s="26"/>
      <c r="E15" s="22"/>
      <c r="F15" s="23"/>
      <c r="G15" s="30"/>
      <c r="H15" s="25" t="str">
        <f aca="false">IF(OR(F15="",G15=""),"",F15*G15)</f>
        <v/>
      </c>
      <c r="I15" s="22"/>
      <c r="J15" s="26"/>
      <c r="K15" s="27" t="str">
        <f aca="false">IF(OR(A15="",J15="",E15="Complete"),"",J15-Settings!$C$6)</f>
        <v/>
      </c>
      <c r="L15" s="21" t="str">
        <f aca="false">IF(K15="","",IF(K15&lt;0,"Overdue",IF(K15&lt;=7,"This week","")))</f>
        <v/>
      </c>
      <c r="M15" s="22"/>
      <c r="N15" s="22"/>
    </row>
    <row r="16" customFormat="false" ht="15" hidden="false" customHeight="false" outlineLevel="0" collapsed="false">
      <c r="A16" s="22"/>
      <c r="B16" s="22"/>
      <c r="C16" s="26"/>
      <c r="D16" s="26"/>
      <c r="E16" s="22"/>
      <c r="F16" s="23"/>
      <c r="G16" s="30"/>
      <c r="H16" s="25" t="str">
        <f aca="false">IF(OR(F16="",G16=""),"",F16*G16)</f>
        <v/>
      </c>
      <c r="I16" s="22"/>
      <c r="J16" s="26"/>
      <c r="K16" s="27" t="str">
        <f aca="false">IF(OR(A16="",J16="",E16="Complete"),"",J16-Settings!$C$6)</f>
        <v/>
      </c>
      <c r="L16" s="21" t="str">
        <f aca="false">IF(K16="","",IF(K16&lt;0,"Overdue",IF(K16&lt;=7,"This week","")))</f>
        <v/>
      </c>
      <c r="M16" s="22"/>
      <c r="N16" s="22"/>
    </row>
    <row r="17" customFormat="false" ht="15" hidden="false" customHeight="false" outlineLevel="0" collapsed="false">
      <c r="A17" s="22"/>
      <c r="B17" s="22"/>
      <c r="C17" s="26"/>
      <c r="D17" s="26"/>
      <c r="E17" s="22"/>
      <c r="F17" s="23"/>
      <c r="G17" s="30"/>
      <c r="H17" s="25" t="str">
        <f aca="false">IF(OR(F17="",G17=""),"",F17*G17)</f>
        <v/>
      </c>
      <c r="I17" s="22"/>
      <c r="J17" s="26"/>
      <c r="K17" s="27" t="str">
        <f aca="false">IF(OR(A17="",J17="",E17="Complete"),"",J17-Settings!$C$6)</f>
        <v/>
      </c>
      <c r="L17" s="21" t="str">
        <f aca="false">IF(K17="","",IF(K17&lt;0,"Overdue",IF(K17&lt;=7,"This week","")))</f>
        <v/>
      </c>
      <c r="M17" s="22"/>
      <c r="N17" s="22"/>
    </row>
    <row r="18" customFormat="false" ht="15" hidden="false" customHeight="false" outlineLevel="0" collapsed="false">
      <c r="A18" s="22"/>
      <c r="B18" s="22"/>
      <c r="C18" s="26"/>
      <c r="D18" s="26"/>
      <c r="E18" s="22"/>
      <c r="F18" s="23"/>
      <c r="G18" s="30"/>
      <c r="H18" s="25" t="str">
        <f aca="false">IF(OR(F18="",G18=""),"",F18*G18)</f>
        <v/>
      </c>
      <c r="I18" s="22"/>
      <c r="J18" s="26"/>
      <c r="K18" s="27" t="str">
        <f aca="false">IF(OR(A18="",J18="",E18="Complete"),"",J18-Settings!$C$6)</f>
        <v/>
      </c>
      <c r="L18" s="21" t="str">
        <f aca="false">IF(K18="","",IF(K18&lt;0,"Overdue",IF(K18&lt;=7,"This week","")))</f>
        <v/>
      </c>
      <c r="M18" s="22"/>
      <c r="N18" s="22"/>
    </row>
    <row r="19" customFormat="false" ht="15" hidden="false" customHeight="false" outlineLevel="0" collapsed="false">
      <c r="A19" s="22"/>
      <c r="B19" s="22"/>
      <c r="C19" s="26"/>
      <c r="D19" s="26"/>
      <c r="E19" s="22"/>
      <c r="F19" s="23"/>
      <c r="G19" s="30"/>
      <c r="H19" s="25" t="str">
        <f aca="false">IF(OR(F19="",G19=""),"",F19*G19)</f>
        <v/>
      </c>
      <c r="I19" s="22"/>
      <c r="J19" s="26"/>
      <c r="K19" s="27" t="str">
        <f aca="false">IF(OR(A19="",J19="",E19="Complete"),"",J19-Settings!$C$6)</f>
        <v/>
      </c>
      <c r="L19" s="21" t="str">
        <f aca="false">IF(K19="","",IF(K19&lt;0,"Overdue",IF(K19&lt;=7,"This week","")))</f>
        <v/>
      </c>
      <c r="M19" s="22"/>
      <c r="N19" s="22"/>
    </row>
    <row r="20" customFormat="false" ht="15" hidden="false" customHeight="false" outlineLevel="0" collapsed="false">
      <c r="A20" s="22"/>
      <c r="B20" s="22"/>
      <c r="C20" s="26"/>
      <c r="D20" s="26"/>
      <c r="E20" s="22"/>
      <c r="F20" s="23"/>
      <c r="G20" s="30"/>
      <c r="H20" s="25" t="str">
        <f aca="false">IF(OR(F20="",G20=""),"",F20*G20)</f>
        <v/>
      </c>
      <c r="I20" s="22"/>
      <c r="J20" s="26"/>
      <c r="K20" s="27" t="str">
        <f aca="false">IF(OR(A20="",J20="",E20="Complete"),"",J20-Settings!$C$6)</f>
        <v/>
      </c>
      <c r="L20" s="21" t="str">
        <f aca="false">IF(K20="","",IF(K20&lt;0,"Overdue",IF(K20&lt;=7,"This week","")))</f>
        <v/>
      </c>
      <c r="M20" s="22"/>
      <c r="N20" s="22"/>
    </row>
    <row r="21" customFormat="false" ht="15" hidden="false" customHeight="false" outlineLevel="0" collapsed="false">
      <c r="A21" s="22"/>
      <c r="B21" s="22"/>
      <c r="C21" s="26"/>
      <c r="D21" s="26"/>
      <c r="E21" s="22"/>
      <c r="F21" s="23"/>
      <c r="G21" s="30"/>
      <c r="H21" s="25" t="str">
        <f aca="false">IF(OR(F21="",G21=""),"",F21*G21)</f>
        <v/>
      </c>
      <c r="I21" s="22"/>
      <c r="J21" s="26"/>
      <c r="K21" s="27" t="str">
        <f aca="false">IF(OR(A21="",J21="",E21="Complete"),"",J21-Settings!$C$6)</f>
        <v/>
      </c>
      <c r="L21" s="21" t="str">
        <f aca="false">IF(K21="","",IF(K21&lt;0,"Overdue",IF(K21&lt;=7,"This week","")))</f>
        <v/>
      </c>
      <c r="M21" s="22"/>
      <c r="N21" s="22"/>
    </row>
    <row r="22" customFormat="false" ht="15" hidden="false" customHeight="false" outlineLevel="0" collapsed="false">
      <c r="A22" s="22"/>
      <c r="B22" s="22"/>
      <c r="C22" s="26"/>
      <c r="D22" s="26"/>
      <c r="E22" s="22"/>
      <c r="F22" s="23"/>
      <c r="G22" s="30"/>
      <c r="H22" s="25" t="str">
        <f aca="false">IF(OR(F22="",G22=""),"",F22*G22)</f>
        <v/>
      </c>
      <c r="I22" s="22"/>
      <c r="J22" s="26"/>
      <c r="K22" s="27" t="str">
        <f aca="false">IF(OR(A22="",J22="",E22="Complete"),"",J22-Settings!$C$6)</f>
        <v/>
      </c>
      <c r="L22" s="21" t="str">
        <f aca="false">IF(K22="","",IF(K22&lt;0,"Overdue",IF(K22&lt;=7,"This week","")))</f>
        <v/>
      </c>
      <c r="M22" s="22"/>
      <c r="N22" s="22"/>
    </row>
    <row r="23" customFormat="false" ht="15" hidden="false" customHeight="false" outlineLevel="0" collapsed="false">
      <c r="A23" s="22"/>
      <c r="B23" s="22"/>
      <c r="C23" s="26"/>
      <c r="D23" s="26"/>
      <c r="E23" s="22"/>
      <c r="F23" s="23"/>
      <c r="G23" s="30"/>
      <c r="H23" s="25" t="str">
        <f aca="false">IF(OR(F23="",G23=""),"",F23*G23)</f>
        <v/>
      </c>
      <c r="I23" s="22"/>
      <c r="J23" s="26"/>
      <c r="K23" s="27" t="str">
        <f aca="false">IF(OR(A23="",J23="",E23="Complete"),"",J23-Settings!$C$6)</f>
        <v/>
      </c>
      <c r="L23" s="21" t="str">
        <f aca="false">IF(K23="","",IF(K23&lt;0,"Overdue",IF(K23&lt;=7,"This week","")))</f>
        <v/>
      </c>
      <c r="M23" s="22"/>
      <c r="N23" s="22"/>
    </row>
    <row r="24" customFormat="false" ht="15" hidden="false" customHeight="false" outlineLevel="0" collapsed="false">
      <c r="A24" s="22"/>
      <c r="B24" s="22"/>
      <c r="C24" s="26"/>
      <c r="D24" s="26"/>
      <c r="E24" s="22"/>
      <c r="F24" s="23"/>
      <c r="G24" s="30"/>
      <c r="H24" s="25" t="str">
        <f aca="false">IF(OR(F24="",G24=""),"",F24*G24)</f>
        <v/>
      </c>
      <c r="I24" s="22"/>
      <c r="J24" s="26"/>
      <c r="K24" s="27" t="str">
        <f aca="false">IF(OR(A24="",J24="",E24="Complete"),"",J24-Settings!$C$6)</f>
        <v/>
      </c>
      <c r="L24" s="21" t="str">
        <f aca="false">IF(K24="","",IF(K24&lt;0,"Overdue",IF(K24&lt;=7,"This week","")))</f>
        <v/>
      </c>
      <c r="M24" s="22"/>
      <c r="N24" s="22"/>
    </row>
    <row r="25" customFormat="false" ht="15" hidden="false" customHeight="false" outlineLevel="0" collapsed="false">
      <c r="A25" s="22"/>
      <c r="B25" s="22"/>
      <c r="C25" s="26"/>
      <c r="D25" s="26"/>
      <c r="E25" s="22"/>
      <c r="F25" s="23"/>
      <c r="G25" s="30"/>
      <c r="H25" s="25" t="str">
        <f aca="false">IF(OR(F25="",G25=""),"",F25*G25)</f>
        <v/>
      </c>
      <c r="I25" s="22"/>
      <c r="J25" s="26"/>
      <c r="K25" s="27" t="str">
        <f aca="false">IF(OR(A25="",J25="",E25="Complete"),"",J25-Settings!$C$6)</f>
        <v/>
      </c>
      <c r="L25" s="21" t="str">
        <f aca="false">IF(K25="","",IF(K25&lt;0,"Overdue",IF(K25&lt;=7,"This week","")))</f>
        <v/>
      </c>
      <c r="M25" s="22"/>
      <c r="N25" s="22"/>
    </row>
    <row r="26" customFormat="false" ht="15" hidden="false" customHeight="false" outlineLevel="0" collapsed="false">
      <c r="A26" s="22"/>
      <c r="B26" s="22"/>
      <c r="C26" s="26"/>
      <c r="D26" s="26"/>
      <c r="E26" s="22"/>
      <c r="F26" s="23"/>
      <c r="G26" s="30"/>
      <c r="H26" s="25" t="str">
        <f aca="false">IF(OR(F26="",G26=""),"",F26*G26)</f>
        <v/>
      </c>
      <c r="I26" s="22"/>
      <c r="J26" s="26"/>
      <c r="K26" s="27" t="str">
        <f aca="false">IF(OR(A26="",J26="",E26="Complete"),"",J26-Settings!$C$6)</f>
        <v/>
      </c>
      <c r="L26" s="21" t="str">
        <f aca="false">IF(K26="","",IF(K26&lt;0,"Overdue",IF(K26&lt;=7,"This week","")))</f>
        <v/>
      </c>
      <c r="M26" s="22"/>
      <c r="N26" s="22"/>
    </row>
    <row r="27" customFormat="false" ht="15" hidden="false" customHeight="false" outlineLevel="0" collapsed="false">
      <c r="A27" s="22"/>
      <c r="B27" s="22"/>
      <c r="C27" s="26"/>
      <c r="D27" s="26"/>
      <c r="E27" s="22"/>
      <c r="F27" s="23"/>
      <c r="G27" s="30"/>
      <c r="H27" s="25" t="str">
        <f aca="false">IF(OR(F27="",G27=""),"",F27*G27)</f>
        <v/>
      </c>
      <c r="I27" s="22"/>
      <c r="J27" s="26"/>
      <c r="K27" s="27" t="str">
        <f aca="false">IF(OR(A27="",J27="",E27="Complete"),"",J27-Settings!$C$6)</f>
        <v/>
      </c>
      <c r="L27" s="21" t="str">
        <f aca="false">IF(K27="","",IF(K27&lt;0,"Overdue",IF(K27&lt;=7,"This week","")))</f>
        <v/>
      </c>
      <c r="M27" s="22"/>
      <c r="N27" s="22"/>
    </row>
    <row r="28" customFormat="false" ht="15" hidden="false" customHeight="false" outlineLevel="0" collapsed="false">
      <c r="A28" s="22"/>
      <c r="B28" s="22"/>
      <c r="C28" s="26"/>
      <c r="D28" s="26"/>
      <c r="E28" s="22"/>
      <c r="F28" s="23"/>
      <c r="G28" s="30"/>
      <c r="H28" s="25" t="str">
        <f aca="false">IF(OR(F28="",G28=""),"",F28*G28)</f>
        <v/>
      </c>
      <c r="I28" s="22"/>
      <c r="J28" s="26"/>
      <c r="K28" s="27" t="str">
        <f aca="false">IF(OR(A28="",J28="",E28="Complete"),"",J28-Settings!$C$6)</f>
        <v/>
      </c>
      <c r="L28" s="21" t="str">
        <f aca="false">IF(K28="","",IF(K28&lt;0,"Overdue",IF(K28&lt;=7,"This week","")))</f>
        <v/>
      </c>
      <c r="M28" s="22"/>
      <c r="N28" s="22"/>
    </row>
    <row r="29" customFormat="false" ht="15" hidden="false" customHeight="false" outlineLevel="0" collapsed="false">
      <c r="A29" s="22"/>
      <c r="B29" s="22"/>
      <c r="C29" s="26"/>
      <c r="D29" s="26"/>
      <c r="E29" s="22"/>
      <c r="F29" s="23"/>
      <c r="G29" s="30"/>
      <c r="H29" s="25" t="str">
        <f aca="false">IF(OR(F29="",G29=""),"",F29*G29)</f>
        <v/>
      </c>
      <c r="I29" s="22"/>
      <c r="J29" s="26"/>
      <c r="K29" s="27" t="str">
        <f aca="false">IF(OR(A29="",J29="",E29="Complete"),"",J29-Settings!$C$6)</f>
        <v/>
      </c>
      <c r="L29" s="21" t="str">
        <f aca="false">IF(K29="","",IF(K29&lt;0,"Overdue",IF(K29&lt;=7,"This week","")))</f>
        <v/>
      </c>
      <c r="M29" s="22"/>
      <c r="N29" s="22"/>
    </row>
    <row r="30" customFormat="false" ht="15" hidden="false" customHeight="false" outlineLevel="0" collapsed="false">
      <c r="A30" s="22"/>
      <c r="B30" s="22"/>
      <c r="C30" s="26"/>
      <c r="D30" s="26"/>
      <c r="E30" s="22"/>
      <c r="F30" s="23"/>
      <c r="G30" s="30"/>
      <c r="H30" s="25" t="str">
        <f aca="false">IF(OR(F30="",G30=""),"",F30*G30)</f>
        <v/>
      </c>
      <c r="I30" s="22"/>
      <c r="J30" s="26"/>
      <c r="K30" s="27" t="str">
        <f aca="false">IF(OR(A30="",J30="",E30="Complete"),"",J30-Settings!$C$6)</f>
        <v/>
      </c>
      <c r="L30" s="21" t="str">
        <f aca="false">IF(K30="","",IF(K30&lt;0,"Overdue",IF(K30&lt;=7,"This week","")))</f>
        <v/>
      </c>
      <c r="M30" s="22"/>
      <c r="N30" s="22"/>
    </row>
    <row r="31" customFormat="false" ht="15" hidden="false" customHeight="false" outlineLevel="0" collapsed="false">
      <c r="A31" s="22"/>
      <c r="B31" s="22"/>
      <c r="C31" s="26"/>
      <c r="D31" s="26"/>
      <c r="E31" s="22"/>
      <c r="F31" s="23"/>
      <c r="G31" s="30"/>
      <c r="H31" s="25" t="str">
        <f aca="false">IF(OR(F31="",G31=""),"",F31*G31)</f>
        <v/>
      </c>
      <c r="I31" s="22"/>
      <c r="J31" s="26"/>
      <c r="K31" s="27" t="str">
        <f aca="false">IF(OR(A31="",J31="",E31="Complete"),"",J31-Settings!$C$6)</f>
        <v/>
      </c>
      <c r="L31" s="21" t="str">
        <f aca="false">IF(K31="","",IF(K31&lt;0,"Overdue",IF(K31&lt;=7,"This week","")))</f>
        <v/>
      </c>
      <c r="M31" s="22"/>
      <c r="N31" s="22"/>
    </row>
    <row r="32" customFormat="false" ht="15" hidden="false" customHeight="false" outlineLevel="0" collapsed="false">
      <c r="A32" s="22"/>
      <c r="B32" s="22"/>
      <c r="C32" s="26"/>
      <c r="D32" s="26"/>
      <c r="E32" s="22"/>
      <c r="F32" s="23"/>
      <c r="G32" s="30"/>
      <c r="H32" s="25" t="str">
        <f aca="false">IF(OR(F32="",G32=""),"",F32*G32)</f>
        <v/>
      </c>
      <c r="I32" s="22"/>
      <c r="J32" s="26"/>
      <c r="K32" s="27" t="str">
        <f aca="false">IF(OR(A32="",J32="",E32="Complete"),"",J32-Settings!$C$6)</f>
        <v/>
      </c>
      <c r="L32" s="21" t="str">
        <f aca="false">IF(K32="","",IF(K32&lt;0,"Overdue",IF(K32&lt;=7,"This week","")))</f>
        <v/>
      </c>
      <c r="M32" s="22"/>
      <c r="N32" s="22"/>
    </row>
    <row r="33" customFormat="false" ht="15" hidden="false" customHeight="false" outlineLevel="0" collapsed="false">
      <c r="A33" s="22"/>
      <c r="B33" s="22"/>
      <c r="C33" s="26"/>
      <c r="D33" s="26"/>
      <c r="E33" s="22"/>
      <c r="F33" s="23"/>
      <c r="G33" s="30"/>
      <c r="H33" s="25" t="str">
        <f aca="false">IF(OR(F33="",G33=""),"",F33*G33)</f>
        <v/>
      </c>
      <c r="I33" s="22"/>
      <c r="J33" s="26"/>
      <c r="K33" s="27" t="str">
        <f aca="false">IF(OR(A33="",J33="",E33="Complete"),"",J33-Settings!$C$6)</f>
        <v/>
      </c>
      <c r="L33" s="21" t="str">
        <f aca="false">IF(K33="","",IF(K33&lt;0,"Overdue",IF(K33&lt;=7,"This week","")))</f>
        <v/>
      </c>
      <c r="M33" s="22"/>
      <c r="N33" s="22"/>
    </row>
    <row r="34" customFormat="false" ht="15" hidden="false" customHeight="false" outlineLevel="0" collapsed="false">
      <c r="A34" s="22"/>
      <c r="B34" s="22"/>
      <c r="C34" s="26"/>
      <c r="D34" s="26"/>
      <c r="E34" s="22"/>
      <c r="F34" s="23"/>
      <c r="G34" s="30"/>
      <c r="H34" s="25" t="str">
        <f aca="false">IF(OR(F34="",G34=""),"",F34*G34)</f>
        <v/>
      </c>
      <c r="I34" s="22"/>
      <c r="J34" s="26"/>
      <c r="K34" s="27" t="str">
        <f aca="false">IF(OR(A34="",J34="",E34="Complete"),"",J34-Settings!$C$6)</f>
        <v/>
      </c>
      <c r="L34" s="21" t="str">
        <f aca="false">IF(K34="","",IF(K34&lt;0,"Overdue",IF(K34&lt;=7,"This week","")))</f>
        <v/>
      </c>
      <c r="M34" s="22"/>
      <c r="N34" s="22"/>
    </row>
    <row r="35" customFormat="false" ht="15" hidden="false" customHeight="false" outlineLevel="0" collapsed="false">
      <c r="A35" s="22"/>
      <c r="B35" s="22"/>
      <c r="C35" s="26"/>
      <c r="D35" s="26"/>
      <c r="E35" s="22"/>
      <c r="F35" s="23"/>
      <c r="G35" s="30"/>
      <c r="H35" s="25" t="str">
        <f aca="false">IF(OR(F35="",G35=""),"",F35*G35)</f>
        <v/>
      </c>
      <c r="I35" s="22"/>
      <c r="J35" s="26"/>
      <c r="K35" s="27" t="str">
        <f aca="false">IF(OR(A35="",J35="",E35="Complete"),"",J35-Settings!$C$6)</f>
        <v/>
      </c>
      <c r="L35" s="21" t="str">
        <f aca="false">IF(K35="","",IF(K35&lt;0,"Overdue",IF(K35&lt;=7,"This week","")))</f>
        <v/>
      </c>
      <c r="M35" s="22"/>
      <c r="N35" s="22"/>
    </row>
    <row r="36" customFormat="false" ht="15" hidden="false" customHeight="false" outlineLevel="0" collapsed="false">
      <c r="A36" s="22"/>
      <c r="B36" s="22"/>
      <c r="C36" s="26"/>
      <c r="D36" s="26"/>
      <c r="E36" s="22"/>
      <c r="F36" s="23"/>
      <c r="G36" s="30"/>
      <c r="H36" s="25" t="str">
        <f aca="false">IF(OR(F36="",G36=""),"",F36*G36)</f>
        <v/>
      </c>
      <c r="I36" s="22"/>
      <c r="J36" s="26"/>
      <c r="K36" s="27" t="str">
        <f aca="false">IF(OR(A36="",J36="",E36="Complete"),"",J36-Settings!$C$6)</f>
        <v/>
      </c>
      <c r="L36" s="21" t="str">
        <f aca="false">IF(K36="","",IF(K36&lt;0,"Overdue",IF(K36&lt;=7,"This week","")))</f>
        <v/>
      </c>
      <c r="M36" s="22"/>
      <c r="N36" s="22"/>
    </row>
    <row r="37" customFormat="false" ht="15" hidden="false" customHeight="false" outlineLevel="0" collapsed="false">
      <c r="A37" s="22"/>
      <c r="B37" s="22"/>
      <c r="C37" s="26"/>
      <c r="D37" s="26"/>
      <c r="E37" s="22"/>
      <c r="F37" s="23"/>
      <c r="G37" s="30"/>
      <c r="H37" s="25" t="str">
        <f aca="false">IF(OR(F37="",G37=""),"",F37*G37)</f>
        <v/>
      </c>
      <c r="I37" s="22"/>
      <c r="J37" s="26"/>
      <c r="K37" s="27" t="str">
        <f aca="false">IF(OR(A37="",J37="",E37="Complete"),"",J37-Settings!$C$6)</f>
        <v/>
      </c>
      <c r="L37" s="21" t="str">
        <f aca="false">IF(K37="","",IF(K37&lt;0,"Overdue",IF(K37&lt;=7,"This week","")))</f>
        <v/>
      </c>
      <c r="M37" s="22"/>
      <c r="N37" s="22"/>
    </row>
    <row r="38" customFormat="false" ht="15" hidden="false" customHeight="false" outlineLevel="0" collapsed="false">
      <c r="A38" s="22"/>
      <c r="B38" s="22"/>
      <c r="C38" s="26"/>
      <c r="D38" s="26"/>
      <c r="E38" s="22"/>
      <c r="F38" s="23"/>
      <c r="G38" s="30"/>
      <c r="H38" s="25" t="str">
        <f aca="false">IF(OR(F38="",G38=""),"",F38*G38)</f>
        <v/>
      </c>
      <c r="I38" s="22"/>
      <c r="J38" s="26"/>
      <c r="K38" s="27" t="str">
        <f aca="false">IF(OR(A38="",J38="",E38="Complete"),"",J38-Settings!$C$6)</f>
        <v/>
      </c>
      <c r="L38" s="21" t="str">
        <f aca="false">IF(K38="","",IF(K38&lt;0,"Overdue",IF(K38&lt;=7,"This week","")))</f>
        <v/>
      </c>
      <c r="M38" s="22"/>
      <c r="N38" s="22"/>
    </row>
    <row r="39" customFormat="false" ht="15" hidden="false" customHeight="false" outlineLevel="0" collapsed="false">
      <c r="A39" s="22"/>
      <c r="B39" s="22"/>
      <c r="C39" s="26"/>
      <c r="D39" s="26"/>
      <c r="E39" s="22"/>
      <c r="F39" s="23"/>
      <c r="G39" s="30"/>
      <c r="H39" s="25" t="str">
        <f aca="false">IF(OR(F39="",G39=""),"",F39*G39)</f>
        <v/>
      </c>
      <c r="I39" s="22"/>
      <c r="J39" s="26"/>
      <c r="K39" s="27" t="str">
        <f aca="false">IF(OR(A39="",J39="",E39="Complete"),"",J39-Settings!$C$6)</f>
        <v/>
      </c>
      <c r="L39" s="21" t="str">
        <f aca="false">IF(K39="","",IF(K39&lt;0,"Overdue",IF(K39&lt;=7,"This week","")))</f>
        <v/>
      </c>
      <c r="M39" s="22"/>
      <c r="N39" s="22"/>
    </row>
    <row r="40" customFormat="false" ht="15" hidden="false" customHeight="false" outlineLevel="0" collapsed="false">
      <c r="A40" s="22"/>
      <c r="B40" s="22"/>
      <c r="C40" s="26"/>
      <c r="D40" s="26"/>
      <c r="E40" s="22"/>
      <c r="F40" s="23"/>
      <c r="G40" s="30"/>
      <c r="H40" s="25" t="str">
        <f aca="false">IF(OR(F40="",G40=""),"",F40*G40)</f>
        <v/>
      </c>
      <c r="I40" s="22"/>
      <c r="J40" s="26"/>
      <c r="K40" s="27" t="str">
        <f aca="false">IF(OR(A40="",J40="",E40="Complete"),"",J40-Settings!$C$6)</f>
        <v/>
      </c>
      <c r="L40" s="21" t="str">
        <f aca="false">IF(K40="","",IF(K40&lt;0,"Overdue",IF(K40&lt;=7,"This week","")))</f>
        <v/>
      </c>
      <c r="M40" s="22"/>
      <c r="N40" s="22"/>
    </row>
    <row r="41" customFormat="false" ht="15" hidden="false" customHeight="false" outlineLevel="0" collapsed="false">
      <c r="A41" s="22"/>
      <c r="B41" s="22"/>
      <c r="C41" s="26"/>
      <c r="D41" s="26"/>
      <c r="E41" s="22"/>
      <c r="F41" s="23"/>
      <c r="G41" s="30"/>
      <c r="H41" s="25" t="str">
        <f aca="false">IF(OR(F41="",G41=""),"",F41*G41)</f>
        <v/>
      </c>
      <c r="I41" s="22"/>
      <c r="J41" s="26"/>
      <c r="K41" s="27" t="str">
        <f aca="false">IF(OR(A41="",J41="",E41="Complete"),"",J41-Settings!$C$6)</f>
        <v/>
      </c>
      <c r="L41" s="21" t="str">
        <f aca="false">IF(K41="","",IF(K41&lt;0,"Overdue",IF(K41&lt;=7,"This week","")))</f>
        <v/>
      </c>
      <c r="M41" s="22"/>
      <c r="N41" s="22"/>
    </row>
    <row r="42" customFormat="false" ht="15" hidden="false" customHeight="false" outlineLevel="0" collapsed="false">
      <c r="A42" s="22"/>
      <c r="B42" s="22"/>
      <c r="C42" s="26"/>
      <c r="D42" s="26"/>
      <c r="E42" s="22"/>
      <c r="F42" s="23"/>
      <c r="G42" s="30"/>
      <c r="H42" s="25" t="str">
        <f aca="false">IF(OR(F42="",G42=""),"",F42*G42)</f>
        <v/>
      </c>
      <c r="I42" s="22"/>
      <c r="J42" s="26"/>
      <c r="K42" s="27" t="str">
        <f aca="false">IF(OR(A42="",J42="",E42="Complete"),"",J42-Settings!$C$6)</f>
        <v/>
      </c>
      <c r="L42" s="21" t="str">
        <f aca="false">IF(K42="","",IF(K42&lt;0,"Overdue",IF(K42&lt;=7,"This week","")))</f>
        <v/>
      </c>
      <c r="M42" s="22"/>
      <c r="N42" s="22"/>
    </row>
    <row r="43" customFormat="false" ht="15" hidden="false" customHeight="false" outlineLevel="0" collapsed="false">
      <c r="A43" s="22"/>
      <c r="B43" s="22"/>
      <c r="C43" s="26"/>
      <c r="D43" s="26"/>
      <c r="E43" s="22"/>
      <c r="F43" s="23"/>
      <c r="G43" s="30"/>
      <c r="H43" s="25" t="str">
        <f aca="false">IF(OR(F43="",G43=""),"",F43*G43)</f>
        <v/>
      </c>
      <c r="I43" s="22"/>
      <c r="J43" s="26"/>
      <c r="K43" s="27" t="str">
        <f aca="false">IF(OR(A43="",J43="",E43="Complete"),"",J43-Settings!$C$6)</f>
        <v/>
      </c>
      <c r="L43" s="21" t="str">
        <f aca="false">IF(K43="","",IF(K43&lt;0,"Overdue",IF(K43&lt;=7,"This week","")))</f>
        <v/>
      </c>
      <c r="M43" s="22"/>
      <c r="N43" s="22"/>
    </row>
    <row r="44" customFormat="false" ht="15" hidden="false" customHeight="false" outlineLevel="0" collapsed="false">
      <c r="A44" s="22"/>
      <c r="B44" s="22"/>
      <c r="C44" s="26"/>
      <c r="D44" s="26"/>
      <c r="E44" s="22"/>
      <c r="F44" s="23"/>
      <c r="G44" s="30"/>
      <c r="H44" s="25" t="str">
        <f aca="false">IF(OR(F44="",G44=""),"",F44*G44)</f>
        <v/>
      </c>
      <c r="I44" s="22"/>
      <c r="J44" s="26"/>
      <c r="K44" s="27" t="str">
        <f aca="false">IF(OR(A44="",J44="",E44="Complete"),"",J44-Settings!$C$6)</f>
        <v/>
      </c>
      <c r="L44" s="21" t="str">
        <f aca="false">IF(K44="","",IF(K44&lt;0,"Overdue",IF(K44&lt;=7,"This week","")))</f>
        <v/>
      </c>
      <c r="M44" s="22"/>
      <c r="N44" s="22"/>
    </row>
    <row r="45" customFormat="false" ht="15" hidden="false" customHeight="false" outlineLevel="0" collapsed="false">
      <c r="A45" s="22"/>
      <c r="B45" s="22"/>
      <c r="C45" s="26"/>
      <c r="D45" s="26"/>
      <c r="E45" s="22"/>
      <c r="F45" s="23"/>
      <c r="G45" s="30"/>
      <c r="H45" s="25" t="str">
        <f aca="false">IF(OR(F45="",G45=""),"",F45*G45)</f>
        <v/>
      </c>
      <c r="I45" s="22"/>
      <c r="J45" s="26"/>
      <c r="K45" s="27" t="str">
        <f aca="false">IF(OR(A45="",J45="",E45="Complete"),"",J45-Settings!$C$6)</f>
        <v/>
      </c>
      <c r="L45" s="21" t="str">
        <f aca="false">IF(K45="","",IF(K45&lt;0,"Overdue",IF(K45&lt;=7,"This week","")))</f>
        <v/>
      </c>
      <c r="M45" s="22"/>
      <c r="N45" s="22"/>
    </row>
    <row r="46" customFormat="false" ht="15" hidden="false" customHeight="false" outlineLevel="0" collapsed="false">
      <c r="A46" s="22"/>
      <c r="B46" s="22"/>
      <c r="C46" s="26"/>
      <c r="D46" s="26"/>
      <c r="E46" s="22"/>
      <c r="F46" s="23"/>
      <c r="G46" s="30"/>
      <c r="H46" s="25" t="str">
        <f aca="false">IF(OR(F46="",G46=""),"",F46*G46)</f>
        <v/>
      </c>
      <c r="I46" s="22"/>
      <c r="J46" s="26"/>
      <c r="K46" s="27" t="str">
        <f aca="false">IF(OR(A46="",J46="",E46="Complete"),"",J46-Settings!$C$6)</f>
        <v/>
      </c>
      <c r="L46" s="21" t="str">
        <f aca="false">IF(K46="","",IF(K46&lt;0,"Overdue",IF(K46&lt;=7,"This week","")))</f>
        <v/>
      </c>
      <c r="M46" s="22"/>
      <c r="N46" s="22"/>
    </row>
    <row r="47" customFormat="false" ht="15" hidden="false" customHeight="false" outlineLevel="0" collapsed="false">
      <c r="A47" s="22"/>
      <c r="B47" s="22"/>
      <c r="C47" s="26"/>
      <c r="D47" s="26"/>
      <c r="E47" s="22"/>
      <c r="F47" s="23"/>
      <c r="G47" s="30"/>
      <c r="H47" s="25" t="str">
        <f aca="false">IF(OR(F47="",G47=""),"",F47*G47)</f>
        <v/>
      </c>
      <c r="I47" s="22"/>
      <c r="J47" s="26"/>
      <c r="K47" s="27" t="str">
        <f aca="false">IF(OR(A47="",J47="",E47="Complete"),"",J47-Settings!$C$6)</f>
        <v/>
      </c>
      <c r="L47" s="21" t="str">
        <f aca="false">IF(K47="","",IF(K47&lt;0,"Overdue",IF(K47&lt;=7,"This week","")))</f>
        <v/>
      </c>
      <c r="M47" s="22"/>
      <c r="N47" s="22"/>
    </row>
    <row r="48" customFormat="false" ht="15" hidden="false" customHeight="false" outlineLevel="0" collapsed="false">
      <c r="A48" s="22"/>
      <c r="B48" s="22"/>
      <c r="C48" s="26"/>
      <c r="D48" s="26"/>
      <c r="E48" s="22"/>
      <c r="F48" s="23"/>
      <c r="G48" s="30"/>
      <c r="H48" s="25" t="str">
        <f aca="false">IF(OR(F48="",G48=""),"",F48*G48)</f>
        <v/>
      </c>
      <c r="I48" s="22"/>
      <c r="J48" s="26"/>
      <c r="K48" s="27" t="str">
        <f aca="false">IF(OR(A48="",J48="",E48="Complete"),"",J48-Settings!$C$6)</f>
        <v/>
      </c>
      <c r="L48" s="21" t="str">
        <f aca="false">IF(K48="","",IF(K48&lt;0,"Overdue",IF(K48&lt;=7,"This week","")))</f>
        <v/>
      </c>
      <c r="M48" s="22"/>
      <c r="N48" s="22"/>
    </row>
    <row r="49" customFormat="false" ht="15" hidden="false" customHeight="false" outlineLevel="0" collapsed="false">
      <c r="A49" s="22"/>
      <c r="B49" s="22"/>
      <c r="C49" s="26"/>
      <c r="D49" s="26"/>
      <c r="E49" s="22"/>
      <c r="F49" s="23"/>
      <c r="G49" s="30"/>
      <c r="H49" s="25" t="str">
        <f aca="false">IF(OR(F49="",G49=""),"",F49*G49)</f>
        <v/>
      </c>
      <c r="I49" s="22"/>
      <c r="J49" s="26"/>
      <c r="K49" s="27" t="str">
        <f aca="false">IF(OR(A49="",J49="",E49="Complete"),"",J49-Settings!$C$6)</f>
        <v/>
      </c>
      <c r="L49" s="21" t="str">
        <f aca="false">IF(K49="","",IF(K49&lt;0,"Overdue",IF(K49&lt;=7,"This week","")))</f>
        <v/>
      </c>
      <c r="M49" s="22"/>
      <c r="N49" s="22"/>
    </row>
    <row r="50" customFormat="false" ht="15" hidden="false" customHeight="false" outlineLevel="0" collapsed="false">
      <c r="A50" s="22"/>
      <c r="B50" s="22"/>
      <c r="C50" s="26"/>
      <c r="D50" s="26"/>
      <c r="E50" s="22"/>
      <c r="F50" s="23"/>
      <c r="G50" s="30"/>
      <c r="H50" s="25" t="str">
        <f aca="false">IF(OR(F50="",G50=""),"",F50*G50)</f>
        <v/>
      </c>
      <c r="I50" s="22"/>
      <c r="J50" s="26"/>
      <c r="K50" s="27" t="str">
        <f aca="false">IF(OR(A50="",J50="",E50="Complete"),"",J50-Settings!$C$6)</f>
        <v/>
      </c>
      <c r="L50" s="21" t="str">
        <f aca="false">IF(K50="","",IF(K50&lt;0,"Overdue",IF(K50&lt;=7,"This week","")))</f>
        <v/>
      </c>
      <c r="M50" s="22"/>
      <c r="N50" s="22"/>
    </row>
    <row r="51" customFormat="false" ht="15" hidden="false" customHeight="false" outlineLevel="0" collapsed="false">
      <c r="A51" s="22"/>
      <c r="B51" s="22"/>
      <c r="C51" s="26"/>
      <c r="D51" s="26"/>
      <c r="E51" s="22"/>
      <c r="F51" s="23"/>
      <c r="G51" s="30"/>
      <c r="H51" s="25" t="str">
        <f aca="false">IF(OR(F51="",G51=""),"",F51*G51)</f>
        <v/>
      </c>
      <c r="I51" s="22"/>
      <c r="J51" s="26"/>
      <c r="K51" s="27" t="str">
        <f aca="false">IF(OR(A51="",J51="",E51="Complete"),"",J51-Settings!$C$6)</f>
        <v/>
      </c>
      <c r="L51" s="21" t="str">
        <f aca="false">IF(K51="","",IF(K51&lt;0,"Overdue",IF(K51&lt;=7,"This week","")))</f>
        <v/>
      </c>
      <c r="M51" s="22"/>
      <c r="N51" s="22"/>
    </row>
    <row r="52" customFormat="false" ht="15" hidden="false" customHeight="false" outlineLevel="0" collapsed="false">
      <c r="A52" s="22"/>
      <c r="B52" s="22"/>
      <c r="C52" s="26"/>
      <c r="D52" s="26"/>
      <c r="E52" s="22"/>
      <c r="F52" s="23"/>
      <c r="G52" s="30"/>
      <c r="H52" s="25" t="str">
        <f aca="false">IF(OR(F52="",G52=""),"",F52*G52)</f>
        <v/>
      </c>
      <c r="I52" s="22"/>
      <c r="J52" s="26"/>
      <c r="K52" s="27" t="str">
        <f aca="false">IF(OR(A52="",J52="",E52="Complete"),"",J52-Settings!$C$6)</f>
        <v/>
      </c>
      <c r="L52" s="21" t="str">
        <f aca="false">IF(K52="","",IF(K52&lt;0,"Overdue",IF(K52&lt;=7,"This week","")))</f>
        <v/>
      </c>
      <c r="M52" s="22"/>
      <c r="N52" s="22"/>
    </row>
    <row r="53" customFormat="false" ht="15" hidden="false" customHeight="false" outlineLevel="0" collapsed="false">
      <c r="A53" s="22"/>
      <c r="B53" s="22"/>
      <c r="C53" s="26"/>
      <c r="D53" s="26"/>
      <c r="E53" s="22"/>
      <c r="F53" s="23"/>
      <c r="G53" s="30"/>
      <c r="H53" s="25" t="str">
        <f aca="false">IF(OR(F53="",G53=""),"",F53*G53)</f>
        <v/>
      </c>
      <c r="I53" s="22"/>
      <c r="J53" s="26"/>
      <c r="K53" s="27" t="str">
        <f aca="false">IF(OR(A53="",J53="",E53="Complete"),"",J53-Settings!$C$6)</f>
        <v/>
      </c>
      <c r="L53" s="21" t="str">
        <f aca="false">IF(K53="","",IF(K53&lt;0,"Overdue",IF(K53&lt;=7,"This week","")))</f>
        <v/>
      </c>
      <c r="M53" s="22"/>
      <c r="N53" s="22"/>
    </row>
    <row r="54" customFormat="false" ht="15" hidden="false" customHeight="false" outlineLevel="0" collapsed="false">
      <c r="A54" s="22"/>
      <c r="B54" s="22"/>
      <c r="C54" s="26"/>
      <c r="D54" s="26"/>
      <c r="E54" s="22"/>
      <c r="F54" s="23"/>
      <c r="G54" s="30"/>
      <c r="H54" s="25" t="str">
        <f aca="false">IF(OR(F54="",G54=""),"",F54*G54)</f>
        <v/>
      </c>
      <c r="I54" s="22"/>
      <c r="J54" s="26"/>
      <c r="K54" s="27" t="str">
        <f aca="false">IF(OR(A54="",J54="",E54="Complete"),"",J54-Settings!$C$6)</f>
        <v/>
      </c>
      <c r="L54" s="21" t="str">
        <f aca="false">IF(K54="","",IF(K54&lt;0,"Overdue",IF(K54&lt;=7,"This week","")))</f>
        <v/>
      </c>
      <c r="M54" s="22"/>
      <c r="N54" s="22"/>
    </row>
    <row r="55" customFormat="false" ht="15" hidden="false" customHeight="false" outlineLevel="0" collapsed="false">
      <c r="A55" s="22"/>
      <c r="B55" s="22"/>
      <c r="C55" s="26"/>
      <c r="D55" s="26"/>
      <c r="E55" s="22"/>
      <c r="F55" s="23"/>
      <c r="G55" s="30"/>
      <c r="H55" s="25" t="str">
        <f aca="false">IF(OR(F55="",G55=""),"",F55*G55)</f>
        <v/>
      </c>
      <c r="I55" s="22"/>
      <c r="J55" s="26"/>
      <c r="K55" s="27" t="str">
        <f aca="false">IF(OR(A55="",J55="",E55="Complete"),"",J55-Settings!$C$6)</f>
        <v/>
      </c>
      <c r="L55" s="21" t="str">
        <f aca="false">IF(K55="","",IF(K55&lt;0,"Overdue",IF(K55&lt;=7,"This week","")))</f>
        <v/>
      </c>
      <c r="M55" s="22"/>
      <c r="N55" s="22"/>
    </row>
    <row r="56" customFormat="false" ht="15" hidden="false" customHeight="false" outlineLevel="0" collapsed="false">
      <c r="A56" s="22"/>
      <c r="B56" s="22"/>
      <c r="C56" s="26"/>
      <c r="D56" s="26"/>
      <c r="E56" s="22"/>
      <c r="F56" s="23"/>
      <c r="G56" s="30"/>
      <c r="H56" s="25" t="str">
        <f aca="false">IF(OR(F56="",G56=""),"",F56*G56)</f>
        <v/>
      </c>
      <c r="I56" s="22"/>
      <c r="J56" s="26"/>
      <c r="K56" s="27" t="str">
        <f aca="false">IF(OR(A56="",J56="",E56="Complete"),"",J56-Settings!$C$6)</f>
        <v/>
      </c>
      <c r="L56" s="21" t="str">
        <f aca="false">IF(K56="","",IF(K56&lt;0,"Overdue",IF(K56&lt;=7,"This week","")))</f>
        <v/>
      </c>
      <c r="M56" s="22"/>
      <c r="N56" s="22"/>
    </row>
    <row r="57" customFormat="false" ht="15" hidden="false" customHeight="false" outlineLevel="0" collapsed="false">
      <c r="A57" s="22"/>
      <c r="B57" s="22"/>
      <c r="C57" s="26"/>
      <c r="D57" s="26"/>
      <c r="E57" s="22"/>
      <c r="F57" s="23"/>
      <c r="G57" s="30"/>
      <c r="H57" s="25" t="str">
        <f aca="false">IF(OR(F57="",G57=""),"",F57*G57)</f>
        <v/>
      </c>
      <c r="I57" s="22"/>
      <c r="J57" s="26"/>
      <c r="K57" s="27" t="str">
        <f aca="false">IF(OR(A57="",J57="",E57="Complete"),"",J57-Settings!$C$6)</f>
        <v/>
      </c>
      <c r="L57" s="21" t="str">
        <f aca="false">IF(K57="","",IF(K57&lt;0,"Overdue",IF(K57&lt;=7,"This week","")))</f>
        <v/>
      </c>
      <c r="M57" s="22"/>
      <c r="N57" s="22"/>
    </row>
    <row r="58" customFormat="false" ht="15" hidden="false" customHeight="false" outlineLevel="0" collapsed="false">
      <c r="A58" s="22"/>
      <c r="B58" s="22"/>
      <c r="C58" s="26"/>
      <c r="D58" s="26"/>
      <c r="E58" s="22"/>
      <c r="F58" s="23"/>
      <c r="G58" s="30"/>
      <c r="H58" s="25" t="str">
        <f aca="false">IF(OR(F58="",G58=""),"",F58*G58)</f>
        <v/>
      </c>
      <c r="I58" s="22"/>
      <c r="J58" s="26"/>
      <c r="K58" s="27" t="str">
        <f aca="false">IF(OR(A58="",J58="",E58="Complete"),"",J58-Settings!$C$6)</f>
        <v/>
      </c>
      <c r="L58" s="21" t="str">
        <f aca="false">IF(K58="","",IF(K58&lt;0,"Overdue",IF(K58&lt;=7,"This week","")))</f>
        <v/>
      </c>
      <c r="M58" s="22"/>
      <c r="N58" s="22"/>
    </row>
    <row r="59" customFormat="false" ht="15" hidden="false" customHeight="false" outlineLevel="0" collapsed="false">
      <c r="A59" s="22"/>
      <c r="B59" s="22"/>
      <c r="C59" s="26"/>
      <c r="D59" s="26"/>
      <c r="E59" s="22"/>
      <c r="F59" s="23"/>
      <c r="G59" s="30"/>
      <c r="H59" s="25" t="str">
        <f aca="false">IF(OR(F59="",G59=""),"",F59*G59)</f>
        <v/>
      </c>
      <c r="I59" s="22"/>
      <c r="J59" s="26"/>
      <c r="K59" s="27" t="str">
        <f aca="false">IF(OR(A59="",J59="",E59="Complete"),"",J59-Settings!$C$6)</f>
        <v/>
      </c>
      <c r="L59" s="21" t="str">
        <f aca="false">IF(K59="","",IF(K59&lt;0,"Overdue",IF(K59&lt;=7,"This week","")))</f>
        <v/>
      </c>
      <c r="M59" s="22"/>
      <c r="N59" s="22"/>
    </row>
    <row r="60" customFormat="false" ht="15" hidden="false" customHeight="false" outlineLevel="0" collapsed="false">
      <c r="A60" s="22"/>
      <c r="B60" s="22"/>
      <c r="C60" s="26"/>
      <c r="D60" s="26"/>
      <c r="E60" s="22"/>
      <c r="F60" s="23"/>
      <c r="G60" s="30"/>
      <c r="H60" s="25" t="str">
        <f aca="false">IF(OR(F60="",G60=""),"",F60*G60)</f>
        <v/>
      </c>
      <c r="I60" s="22"/>
      <c r="J60" s="26"/>
      <c r="K60" s="27" t="str">
        <f aca="false">IF(OR(A60="",J60="",E60="Complete"),"",J60-Settings!$C$6)</f>
        <v/>
      </c>
      <c r="L60" s="21" t="str">
        <f aca="false">IF(K60="","",IF(K60&lt;0,"Overdue",IF(K60&lt;=7,"This week","")))</f>
        <v/>
      </c>
      <c r="M60" s="22"/>
      <c r="N60" s="22"/>
    </row>
    <row r="61" customFormat="false" ht="15" hidden="false" customHeight="false" outlineLevel="0" collapsed="false">
      <c r="A61" s="22"/>
      <c r="B61" s="22"/>
      <c r="C61" s="26"/>
      <c r="D61" s="26"/>
      <c r="E61" s="22"/>
      <c r="F61" s="23"/>
      <c r="G61" s="30"/>
      <c r="H61" s="25" t="str">
        <f aca="false">IF(OR(F61="",G61=""),"",F61*G61)</f>
        <v/>
      </c>
      <c r="I61" s="22"/>
      <c r="J61" s="26"/>
      <c r="K61" s="27" t="str">
        <f aca="false">IF(OR(A61="",J61="",E61="Complete"),"",J61-Settings!$C$6)</f>
        <v/>
      </c>
      <c r="L61" s="21" t="str">
        <f aca="false">IF(K61="","",IF(K61&lt;0,"Overdue",IF(K61&lt;=7,"This week","")))</f>
        <v/>
      </c>
      <c r="M61" s="22"/>
      <c r="N61" s="22"/>
    </row>
    <row r="62" customFormat="false" ht="15" hidden="false" customHeight="false" outlineLevel="0" collapsed="false">
      <c r="A62" s="22"/>
      <c r="B62" s="22"/>
      <c r="C62" s="26"/>
      <c r="D62" s="26"/>
      <c r="E62" s="22"/>
      <c r="F62" s="23"/>
      <c r="G62" s="30"/>
      <c r="H62" s="25" t="str">
        <f aca="false">IF(OR(F62="",G62=""),"",F62*G62)</f>
        <v/>
      </c>
      <c r="I62" s="22"/>
      <c r="J62" s="26"/>
      <c r="K62" s="27" t="str">
        <f aca="false">IF(OR(A62="",J62="",E62="Complete"),"",J62-Settings!$C$6)</f>
        <v/>
      </c>
      <c r="L62" s="21" t="str">
        <f aca="false">IF(K62="","",IF(K62&lt;0,"Overdue",IF(K62&lt;=7,"This week","")))</f>
        <v/>
      </c>
      <c r="M62" s="22"/>
      <c r="N62" s="22"/>
    </row>
    <row r="63" customFormat="false" ht="15" hidden="false" customHeight="false" outlineLevel="0" collapsed="false">
      <c r="A63" s="22"/>
      <c r="B63" s="22"/>
      <c r="C63" s="26"/>
      <c r="D63" s="26"/>
      <c r="E63" s="22"/>
      <c r="F63" s="23"/>
      <c r="G63" s="30"/>
      <c r="H63" s="25" t="str">
        <f aca="false">IF(OR(F63="",G63=""),"",F63*G63)</f>
        <v/>
      </c>
      <c r="I63" s="22"/>
      <c r="J63" s="26"/>
      <c r="K63" s="27" t="str">
        <f aca="false">IF(OR(A63="",J63="",E63="Complete"),"",J63-Settings!$C$6)</f>
        <v/>
      </c>
      <c r="L63" s="21" t="str">
        <f aca="false">IF(K63="","",IF(K63&lt;0,"Overdue",IF(K63&lt;=7,"This week","")))</f>
        <v/>
      </c>
      <c r="M63" s="22"/>
      <c r="N63" s="22"/>
    </row>
    <row r="64" customFormat="false" ht="15" hidden="false" customHeight="false" outlineLevel="0" collapsed="false">
      <c r="A64" s="22"/>
      <c r="B64" s="22"/>
      <c r="C64" s="26"/>
      <c r="D64" s="26"/>
      <c r="E64" s="22"/>
      <c r="F64" s="23"/>
      <c r="G64" s="30"/>
      <c r="H64" s="25" t="str">
        <f aca="false">IF(OR(F64="",G64=""),"",F64*G64)</f>
        <v/>
      </c>
      <c r="I64" s="22"/>
      <c r="J64" s="26"/>
      <c r="K64" s="27" t="str">
        <f aca="false">IF(OR(A64="",J64="",E64="Complete"),"",J64-Settings!$C$6)</f>
        <v/>
      </c>
      <c r="L64" s="21" t="str">
        <f aca="false">IF(K64="","",IF(K64&lt;0,"Overdue",IF(K64&lt;=7,"This week","")))</f>
        <v/>
      </c>
      <c r="M64" s="22"/>
      <c r="N64" s="22"/>
    </row>
    <row r="65" customFormat="false" ht="15" hidden="false" customHeight="false" outlineLevel="0" collapsed="false">
      <c r="A65" s="22"/>
      <c r="B65" s="22"/>
      <c r="C65" s="26"/>
      <c r="D65" s="26"/>
      <c r="E65" s="22"/>
      <c r="F65" s="23"/>
      <c r="G65" s="30"/>
      <c r="H65" s="25" t="str">
        <f aca="false">IF(OR(F65="",G65=""),"",F65*G65)</f>
        <v/>
      </c>
      <c r="I65" s="22"/>
      <c r="J65" s="26"/>
      <c r="K65" s="27" t="str">
        <f aca="false">IF(OR(A65="",J65="",E65="Complete"),"",J65-Settings!$C$6)</f>
        <v/>
      </c>
      <c r="L65" s="21" t="str">
        <f aca="false">IF(K65="","",IF(K65&lt;0,"Overdue",IF(K65&lt;=7,"This week","")))</f>
        <v/>
      </c>
      <c r="M65" s="22"/>
      <c r="N65" s="22"/>
    </row>
    <row r="66" customFormat="false" ht="15" hidden="false" customHeight="false" outlineLevel="0" collapsed="false">
      <c r="A66" s="22"/>
      <c r="B66" s="22"/>
      <c r="C66" s="26"/>
      <c r="D66" s="26"/>
      <c r="E66" s="22"/>
      <c r="F66" s="23"/>
      <c r="G66" s="30"/>
      <c r="H66" s="25" t="str">
        <f aca="false">IF(OR(F66="",G66=""),"",F66*G66)</f>
        <v/>
      </c>
      <c r="I66" s="22"/>
      <c r="J66" s="26"/>
      <c r="K66" s="27" t="str">
        <f aca="false">IF(OR(A66="",J66="",E66="Complete"),"",J66-Settings!$C$6)</f>
        <v/>
      </c>
      <c r="L66" s="21" t="str">
        <f aca="false">IF(K66="","",IF(K66&lt;0,"Overdue",IF(K66&lt;=7,"This week","")))</f>
        <v/>
      </c>
      <c r="M66" s="22"/>
      <c r="N66" s="22"/>
    </row>
    <row r="67" customFormat="false" ht="15" hidden="false" customHeight="false" outlineLevel="0" collapsed="false">
      <c r="A67" s="22"/>
      <c r="B67" s="22"/>
      <c r="C67" s="26"/>
      <c r="D67" s="26"/>
      <c r="E67" s="22"/>
      <c r="F67" s="23"/>
      <c r="G67" s="30"/>
      <c r="H67" s="25" t="str">
        <f aca="false">IF(OR(F67="",G67=""),"",F67*G67)</f>
        <v/>
      </c>
      <c r="I67" s="22"/>
      <c r="J67" s="26"/>
      <c r="K67" s="27" t="str">
        <f aca="false">IF(OR(A67="",J67="",E67="Complete"),"",J67-Settings!$C$6)</f>
        <v/>
      </c>
      <c r="L67" s="21" t="str">
        <f aca="false">IF(K67="","",IF(K67&lt;0,"Overdue",IF(K67&lt;=7,"This week","")))</f>
        <v/>
      </c>
      <c r="M67" s="22"/>
      <c r="N67" s="22"/>
    </row>
    <row r="68" customFormat="false" ht="15" hidden="false" customHeight="false" outlineLevel="0" collapsed="false">
      <c r="A68" s="22"/>
      <c r="B68" s="22"/>
      <c r="C68" s="26"/>
      <c r="D68" s="26"/>
      <c r="E68" s="22"/>
      <c r="F68" s="23"/>
      <c r="G68" s="30"/>
      <c r="H68" s="25" t="str">
        <f aca="false">IF(OR(F68="",G68=""),"",F68*G68)</f>
        <v/>
      </c>
      <c r="I68" s="22"/>
      <c r="J68" s="26"/>
      <c r="K68" s="27" t="str">
        <f aca="false">IF(OR(A68="",J68="",E68="Complete"),"",J68-Settings!$C$6)</f>
        <v/>
      </c>
      <c r="L68" s="21" t="str">
        <f aca="false">IF(K68="","",IF(K68&lt;0,"Overdue",IF(K68&lt;=7,"This week","")))</f>
        <v/>
      </c>
      <c r="M68" s="22"/>
      <c r="N68" s="22"/>
    </row>
    <row r="69" customFormat="false" ht="15" hidden="false" customHeight="false" outlineLevel="0" collapsed="false">
      <c r="A69" s="22"/>
      <c r="B69" s="22"/>
      <c r="C69" s="26"/>
      <c r="D69" s="26"/>
      <c r="E69" s="22"/>
      <c r="F69" s="23"/>
      <c r="G69" s="30"/>
      <c r="H69" s="25" t="str">
        <f aca="false">IF(OR(F69="",G69=""),"",F69*G69)</f>
        <v/>
      </c>
      <c r="I69" s="22"/>
      <c r="J69" s="26"/>
      <c r="K69" s="27" t="str">
        <f aca="false">IF(OR(A69="",J69="",E69="Complete"),"",J69-Settings!$C$6)</f>
        <v/>
      </c>
      <c r="L69" s="21" t="str">
        <f aca="false">IF(K69="","",IF(K69&lt;0,"Overdue",IF(K69&lt;=7,"This week","")))</f>
        <v/>
      </c>
      <c r="M69" s="22"/>
      <c r="N69" s="22"/>
    </row>
    <row r="70" customFormat="false" ht="15" hidden="false" customHeight="false" outlineLevel="0" collapsed="false">
      <c r="A70" s="22"/>
      <c r="B70" s="22"/>
      <c r="C70" s="26"/>
      <c r="D70" s="26"/>
      <c r="E70" s="22"/>
      <c r="F70" s="23"/>
      <c r="G70" s="30"/>
      <c r="H70" s="25" t="str">
        <f aca="false">IF(OR(F70="",G70=""),"",F70*G70)</f>
        <v/>
      </c>
      <c r="I70" s="22"/>
      <c r="J70" s="26"/>
      <c r="K70" s="27" t="str">
        <f aca="false">IF(OR(A70="",J70="",E70="Complete"),"",J70-Settings!$C$6)</f>
        <v/>
      </c>
      <c r="L70" s="21" t="str">
        <f aca="false">IF(K70="","",IF(K70&lt;0,"Overdue",IF(K70&lt;=7,"This week","")))</f>
        <v/>
      </c>
      <c r="M70" s="22"/>
      <c r="N70" s="22"/>
    </row>
    <row r="71" customFormat="false" ht="15" hidden="false" customHeight="false" outlineLevel="0" collapsed="false">
      <c r="A71" s="22"/>
      <c r="B71" s="22"/>
      <c r="C71" s="26"/>
      <c r="D71" s="26"/>
      <c r="E71" s="22"/>
      <c r="F71" s="23"/>
      <c r="G71" s="30"/>
      <c r="H71" s="25" t="str">
        <f aca="false">IF(OR(F71="",G71=""),"",F71*G71)</f>
        <v/>
      </c>
      <c r="I71" s="22"/>
      <c r="J71" s="26"/>
      <c r="K71" s="27" t="str">
        <f aca="false">IF(OR(A71="",J71="",E71="Complete"),"",J71-Settings!$C$6)</f>
        <v/>
      </c>
      <c r="L71" s="21" t="str">
        <f aca="false">IF(K71="","",IF(K71&lt;0,"Overdue",IF(K71&lt;=7,"This week","")))</f>
        <v/>
      </c>
      <c r="M71" s="22"/>
      <c r="N71" s="22"/>
    </row>
    <row r="72" customFormat="false" ht="15" hidden="false" customHeight="false" outlineLevel="0" collapsed="false">
      <c r="A72" s="22"/>
      <c r="B72" s="22"/>
      <c r="C72" s="26"/>
      <c r="D72" s="26"/>
      <c r="E72" s="22"/>
      <c r="F72" s="23"/>
      <c r="G72" s="30"/>
      <c r="H72" s="25" t="str">
        <f aca="false">IF(OR(F72="",G72=""),"",F72*G72)</f>
        <v/>
      </c>
      <c r="I72" s="22"/>
      <c r="J72" s="26"/>
      <c r="K72" s="27" t="str">
        <f aca="false">IF(OR(A72="",J72="",E72="Complete"),"",J72-Settings!$C$6)</f>
        <v/>
      </c>
      <c r="L72" s="21" t="str">
        <f aca="false">IF(K72="","",IF(K72&lt;0,"Overdue",IF(K72&lt;=7,"This week","")))</f>
        <v/>
      </c>
      <c r="M72" s="22"/>
      <c r="N72" s="22"/>
    </row>
    <row r="73" customFormat="false" ht="15" hidden="false" customHeight="false" outlineLevel="0" collapsed="false">
      <c r="A73" s="22"/>
      <c r="B73" s="22"/>
      <c r="C73" s="26"/>
      <c r="D73" s="26"/>
      <c r="E73" s="22"/>
      <c r="F73" s="23"/>
      <c r="G73" s="30"/>
      <c r="H73" s="25" t="str">
        <f aca="false">IF(OR(F73="",G73=""),"",F73*G73)</f>
        <v/>
      </c>
      <c r="I73" s="22"/>
      <c r="J73" s="26"/>
      <c r="K73" s="27" t="str">
        <f aca="false">IF(OR(A73="",J73="",E73="Complete"),"",J73-Settings!$C$6)</f>
        <v/>
      </c>
      <c r="L73" s="21" t="str">
        <f aca="false">IF(K73="","",IF(K73&lt;0,"Overdue",IF(K73&lt;=7,"This week","")))</f>
        <v/>
      </c>
      <c r="M73" s="22"/>
      <c r="N73" s="22"/>
    </row>
    <row r="74" customFormat="false" ht="15" hidden="false" customHeight="false" outlineLevel="0" collapsed="false">
      <c r="A74" s="22"/>
      <c r="B74" s="22"/>
      <c r="C74" s="26"/>
      <c r="D74" s="26"/>
      <c r="E74" s="22"/>
      <c r="F74" s="23"/>
      <c r="G74" s="30"/>
      <c r="H74" s="25" t="str">
        <f aca="false">IF(OR(F74="",G74=""),"",F74*G74)</f>
        <v/>
      </c>
      <c r="I74" s="22"/>
      <c r="J74" s="26"/>
      <c r="K74" s="27" t="str">
        <f aca="false">IF(OR(A74="",J74="",E74="Complete"),"",J74-Settings!$C$6)</f>
        <v/>
      </c>
      <c r="L74" s="21" t="str">
        <f aca="false">IF(K74="","",IF(K74&lt;0,"Overdue",IF(K74&lt;=7,"This week","")))</f>
        <v/>
      </c>
      <c r="M74" s="22"/>
      <c r="N74" s="22"/>
    </row>
    <row r="75" customFormat="false" ht="15" hidden="false" customHeight="false" outlineLevel="0" collapsed="false">
      <c r="A75" s="22"/>
      <c r="B75" s="22"/>
      <c r="C75" s="26"/>
      <c r="D75" s="26"/>
      <c r="E75" s="22"/>
      <c r="F75" s="23"/>
      <c r="G75" s="30"/>
      <c r="H75" s="25" t="str">
        <f aca="false">IF(OR(F75="",G75=""),"",F75*G75)</f>
        <v/>
      </c>
      <c r="I75" s="22"/>
      <c r="J75" s="26"/>
      <c r="K75" s="27" t="str">
        <f aca="false">IF(OR(A75="",J75="",E75="Complete"),"",J75-Settings!$C$6)</f>
        <v/>
      </c>
      <c r="L75" s="21" t="str">
        <f aca="false">IF(K75="","",IF(K75&lt;0,"Overdue",IF(K75&lt;=7,"This week","")))</f>
        <v/>
      </c>
      <c r="M75" s="22"/>
      <c r="N75" s="22"/>
    </row>
    <row r="76" customFormat="false" ht="15" hidden="false" customHeight="false" outlineLevel="0" collapsed="false">
      <c r="A76" s="22"/>
      <c r="B76" s="22"/>
      <c r="C76" s="26"/>
      <c r="D76" s="26"/>
      <c r="E76" s="22"/>
      <c r="F76" s="23"/>
      <c r="G76" s="30"/>
      <c r="H76" s="25" t="str">
        <f aca="false">IF(OR(F76="",G76=""),"",F76*G76)</f>
        <v/>
      </c>
      <c r="I76" s="22"/>
      <c r="J76" s="26"/>
      <c r="K76" s="27" t="str">
        <f aca="false">IF(OR(A76="",J76="",E76="Complete"),"",J76-Settings!$C$6)</f>
        <v/>
      </c>
      <c r="L76" s="21" t="str">
        <f aca="false">IF(K76="","",IF(K76&lt;0,"Overdue",IF(K76&lt;=7,"This week","")))</f>
        <v/>
      </c>
      <c r="M76" s="22"/>
      <c r="N76" s="22"/>
    </row>
    <row r="77" customFormat="false" ht="15" hidden="false" customHeight="false" outlineLevel="0" collapsed="false">
      <c r="A77" s="22"/>
      <c r="B77" s="22"/>
      <c r="C77" s="26"/>
      <c r="D77" s="26"/>
      <c r="E77" s="22"/>
      <c r="F77" s="23"/>
      <c r="G77" s="30"/>
      <c r="H77" s="25" t="str">
        <f aca="false">IF(OR(F77="",G77=""),"",F77*G77)</f>
        <v/>
      </c>
      <c r="I77" s="22"/>
      <c r="J77" s="26"/>
      <c r="K77" s="27" t="str">
        <f aca="false">IF(OR(A77="",J77="",E77="Complete"),"",J77-Settings!$C$6)</f>
        <v/>
      </c>
      <c r="L77" s="21" t="str">
        <f aca="false">IF(K77="","",IF(K77&lt;0,"Overdue",IF(K77&lt;=7,"This week","")))</f>
        <v/>
      </c>
      <c r="M77" s="22"/>
      <c r="N77" s="22"/>
    </row>
    <row r="78" customFormat="false" ht="15" hidden="false" customHeight="false" outlineLevel="0" collapsed="false">
      <c r="A78" s="22"/>
      <c r="B78" s="22"/>
      <c r="C78" s="26"/>
      <c r="D78" s="26"/>
      <c r="E78" s="22"/>
      <c r="F78" s="23"/>
      <c r="G78" s="30"/>
      <c r="H78" s="25" t="str">
        <f aca="false">IF(OR(F78="",G78=""),"",F78*G78)</f>
        <v/>
      </c>
      <c r="I78" s="22"/>
      <c r="J78" s="26"/>
      <c r="K78" s="27" t="str">
        <f aca="false">IF(OR(A78="",J78="",E78="Complete"),"",J78-Settings!$C$6)</f>
        <v/>
      </c>
      <c r="L78" s="21" t="str">
        <f aca="false">IF(K78="","",IF(K78&lt;0,"Overdue",IF(K78&lt;=7,"This week","")))</f>
        <v/>
      </c>
      <c r="M78" s="22"/>
      <c r="N78" s="22"/>
    </row>
    <row r="79" customFormat="false" ht="15" hidden="false" customHeight="false" outlineLevel="0" collapsed="false">
      <c r="A79" s="22"/>
      <c r="B79" s="22"/>
      <c r="C79" s="26"/>
      <c r="D79" s="26"/>
      <c r="E79" s="22"/>
      <c r="F79" s="23"/>
      <c r="G79" s="30"/>
      <c r="H79" s="25" t="str">
        <f aca="false">IF(OR(F79="",G79=""),"",F79*G79)</f>
        <v/>
      </c>
      <c r="I79" s="22"/>
      <c r="J79" s="26"/>
      <c r="K79" s="27" t="str">
        <f aca="false">IF(OR(A79="",J79="",E79="Complete"),"",J79-Settings!$C$6)</f>
        <v/>
      </c>
      <c r="L79" s="21" t="str">
        <f aca="false">IF(K79="","",IF(K79&lt;0,"Overdue",IF(K79&lt;=7,"This week","")))</f>
        <v/>
      </c>
      <c r="M79" s="22"/>
      <c r="N79" s="22"/>
    </row>
    <row r="80" customFormat="false" ht="15" hidden="false" customHeight="false" outlineLevel="0" collapsed="false">
      <c r="A80" s="22"/>
      <c r="B80" s="22"/>
      <c r="C80" s="26"/>
      <c r="D80" s="26"/>
      <c r="E80" s="22"/>
      <c r="F80" s="23"/>
      <c r="G80" s="30"/>
      <c r="H80" s="25" t="str">
        <f aca="false">IF(OR(F80="",G80=""),"",F80*G80)</f>
        <v/>
      </c>
      <c r="I80" s="22"/>
      <c r="J80" s="26"/>
      <c r="K80" s="27" t="str">
        <f aca="false">IF(OR(A80="",J80="",E80="Complete"),"",J80-Settings!$C$6)</f>
        <v/>
      </c>
      <c r="L80" s="21" t="str">
        <f aca="false">IF(K80="","",IF(K80&lt;0,"Overdue",IF(K80&lt;=7,"This week","")))</f>
        <v/>
      </c>
      <c r="M80" s="22"/>
      <c r="N80" s="22"/>
    </row>
    <row r="81" customFormat="false" ht="15" hidden="false" customHeight="false" outlineLevel="0" collapsed="false">
      <c r="A81" s="22"/>
      <c r="B81" s="22"/>
      <c r="C81" s="26"/>
      <c r="D81" s="26"/>
      <c r="E81" s="22"/>
      <c r="F81" s="23"/>
      <c r="G81" s="30"/>
      <c r="H81" s="25" t="str">
        <f aca="false">IF(OR(F81="",G81=""),"",F81*G81)</f>
        <v/>
      </c>
      <c r="I81" s="22"/>
      <c r="J81" s="26"/>
      <c r="K81" s="27" t="str">
        <f aca="false">IF(OR(A81="",J81="",E81="Complete"),"",J81-Settings!$C$6)</f>
        <v/>
      </c>
      <c r="L81" s="21" t="str">
        <f aca="false">IF(K81="","",IF(K81&lt;0,"Overdue",IF(K81&lt;=7,"This week","")))</f>
        <v/>
      </c>
      <c r="M81" s="22"/>
      <c r="N81" s="22"/>
    </row>
    <row r="82" customFormat="false" ht="15" hidden="false" customHeight="false" outlineLevel="0" collapsed="false">
      <c r="A82" s="22"/>
      <c r="B82" s="22"/>
      <c r="C82" s="26"/>
      <c r="D82" s="26"/>
      <c r="E82" s="22"/>
      <c r="F82" s="23"/>
      <c r="G82" s="30"/>
      <c r="H82" s="25" t="str">
        <f aca="false">IF(OR(F82="",G82=""),"",F82*G82)</f>
        <v/>
      </c>
      <c r="I82" s="22"/>
      <c r="J82" s="26"/>
      <c r="K82" s="27" t="str">
        <f aca="false">IF(OR(A82="",J82="",E82="Complete"),"",J82-Settings!$C$6)</f>
        <v/>
      </c>
      <c r="L82" s="21" t="str">
        <f aca="false">IF(K82="","",IF(K82&lt;0,"Overdue",IF(K82&lt;=7,"This week","")))</f>
        <v/>
      </c>
      <c r="M82" s="22"/>
      <c r="N82" s="22"/>
    </row>
    <row r="83" customFormat="false" ht="15" hidden="false" customHeight="false" outlineLevel="0" collapsed="false">
      <c r="A83" s="22"/>
      <c r="B83" s="22"/>
      <c r="C83" s="26"/>
      <c r="D83" s="26"/>
      <c r="E83" s="22"/>
      <c r="F83" s="23"/>
      <c r="G83" s="30"/>
      <c r="H83" s="25" t="str">
        <f aca="false">IF(OR(F83="",G83=""),"",F83*G83)</f>
        <v/>
      </c>
      <c r="I83" s="22"/>
      <c r="J83" s="26"/>
      <c r="K83" s="27" t="str">
        <f aca="false">IF(OR(A83="",J83="",E83="Complete"),"",J83-Settings!$C$6)</f>
        <v/>
      </c>
      <c r="L83" s="21" t="str">
        <f aca="false">IF(K83="","",IF(K83&lt;0,"Overdue",IF(K83&lt;=7,"This week","")))</f>
        <v/>
      </c>
      <c r="M83" s="22"/>
      <c r="N83" s="22"/>
    </row>
    <row r="84" customFormat="false" ht="15" hidden="false" customHeight="false" outlineLevel="0" collapsed="false">
      <c r="A84" s="22"/>
      <c r="B84" s="22"/>
      <c r="C84" s="26"/>
      <c r="D84" s="26"/>
      <c r="E84" s="22"/>
      <c r="F84" s="23"/>
      <c r="G84" s="30"/>
      <c r="H84" s="25" t="str">
        <f aca="false">IF(OR(F84="",G84=""),"",F84*G84)</f>
        <v/>
      </c>
      <c r="I84" s="22"/>
      <c r="J84" s="26"/>
      <c r="K84" s="27" t="str">
        <f aca="false">IF(OR(A84="",J84="",E84="Complete"),"",J84-Settings!$C$6)</f>
        <v/>
      </c>
      <c r="L84" s="21" t="str">
        <f aca="false">IF(K84="","",IF(K84&lt;0,"Overdue",IF(K84&lt;=7,"This week","")))</f>
        <v/>
      </c>
      <c r="M84" s="22"/>
      <c r="N84" s="22"/>
    </row>
    <row r="85" customFormat="false" ht="15" hidden="false" customHeight="false" outlineLevel="0" collapsed="false">
      <c r="A85" s="22"/>
      <c r="B85" s="22"/>
      <c r="C85" s="26"/>
      <c r="D85" s="26"/>
      <c r="E85" s="22"/>
      <c r="F85" s="23"/>
      <c r="G85" s="30"/>
      <c r="H85" s="25" t="str">
        <f aca="false">IF(OR(F85="",G85=""),"",F85*G85)</f>
        <v/>
      </c>
      <c r="I85" s="22"/>
      <c r="J85" s="26"/>
      <c r="K85" s="27" t="str">
        <f aca="false">IF(OR(A85="",J85="",E85="Complete"),"",J85-Settings!$C$6)</f>
        <v/>
      </c>
      <c r="L85" s="21" t="str">
        <f aca="false">IF(K85="","",IF(K85&lt;0,"Overdue",IF(K85&lt;=7,"This week","")))</f>
        <v/>
      </c>
      <c r="M85" s="22"/>
      <c r="N85" s="22"/>
    </row>
    <row r="86" customFormat="false" ht="15" hidden="false" customHeight="false" outlineLevel="0" collapsed="false">
      <c r="A86" s="22"/>
      <c r="B86" s="22"/>
      <c r="C86" s="26"/>
      <c r="D86" s="26"/>
      <c r="E86" s="22"/>
      <c r="F86" s="23"/>
      <c r="G86" s="30"/>
      <c r="H86" s="25" t="str">
        <f aca="false">IF(OR(F86="",G86=""),"",F86*G86)</f>
        <v/>
      </c>
      <c r="I86" s="22"/>
      <c r="J86" s="26"/>
      <c r="K86" s="27" t="str">
        <f aca="false">IF(OR(A86="",J86="",E86="Complete"),"",J86-Settings!$C$6)</f>
        <v/>
      </c>
      <c r="L86" s="21" t="str">
        <f aca="false">IF(K86="","",IF(K86&lt;0,"Overdue",IF(K86&lt;=7,"This week","")))</f>
        <v/>
      </c>
      <c r="M86" s="22"/>
      <c r="N86" s="22"/>
    </row>
    <row r="87" customFormat="false" ht="15" hidden="false" customHeight="false" outlineLevel="0" collapsed="false">
      <c r="A87" s="22"/>
      <c r="B87" s="22"/>
      <c r="C87" s="26"/>
      <c r="D87" s="26"/>
      <c r="E87" s="22"/>
      <c r="F87" s="23"/>
      <c r="G87" s="30"/>
      <c r="H87" s="25" t="str">
        <f aca="false">IF(OR(F87="",G87=""),"",F87*G87)</f>
        <v/>
      </c>
      <c r="I87" s="22"/>
      <c r="J87" s="26"/>
      <c r="K87" s="27" t="str">
        <f aca="false">IF(OR(A87="",J87="",E87="Complete"),"",J87-Settings!$C$6)</f>
        <v/>
      </c>
      <c r="L87" s="21" t="str">
        <f aca="false">IF(K87="","",IF(K87&lt;0,"Overdue",IF(K87&lt;=7,"This week","")))</f>
        <v/>
      </c>
      <c r="M87" s="22"/>
      <c r="N87" s="22"/>
    </row>
    <row r="88" customFormat="false" ht="15" hidden="false" customHeight="false" outlineLevel="0" collapsed="false">
      <c r="A88" s="22"/>
      <c r="B88" s="22"/>
      <c r="C88" s="26"/>
      <c r="D88" s="26"/>
      <c r="E88" s="22"/>
      <c r="F88" s="23"/>
      <c r="G88" s="30"/>
      <c r="H88" s="25" t="str">
        <f aca="false">IF(OR(F88="",G88=""),"",F88*G88)</f>
        <v/>
      </c>
      <c r="I88" s="22"/>
      <c r="J88" s="26"/>
      <c r="K88" s="27" t="str">
        <f aca="false">IF(OR(A88="",J88="",E88="Complete"),"",J88-Settings!$C$6)</f>
        <v/>
      </c>
      <c r="L88" s="21" t="str">
        <f aca="false">IF(K88="","",IF(K88&lt;0,"Overdue",IF(K88&lt;=7,"This week","")))</f>
        <v/>
      </c>
      <c r="M88" s="22"/>
      <c r="N88" s="22"/>
    </row>
    <row r="89" customFormat="false" ht="15" hidden="false" customHeight="false" outlineLevel="0" collapsed="false">
      <c r="A89" s="22"/>
      <c r="B89" s="22"/>
      <c r="C89" s="26"/>
      <c r="D89" s="26"/>
      <c r="E89" s="22"/>
      <c r="F89" s="23"/>
      <c r="G89" s="30"/>
      <c r="H89" s="25" t="str">
        <f aca="false">IF(OR(F89="",G89=""),"",F89*G89)</f>
        <v/>
      </c>
      <c r="I89" s="22"/>
      <c r="J89" s="26"/>
      <c r="K89" s="27" t="str">
        <f aca="false">IF(OR(A89="",J89="",E89="Complete"),"",J89-Settings!$C$6)</f>
        <v/>
      </c>
      <c r="L89" s="21" t="str">
        <f aca="false">IF(K89="","",IF(K89&lt;0,"Overdue",IF(K89&lt;=7,"This week","")))</f>
        <v/>
      </c>
      <c r="M89" s="22"/>
      <c r="N89" s="22"/>
    </row>
    <row r="90" customFormat="false" ht="15" hidden="false" customHeight="false" outlineLevel="0" collapsed="false">
      <c r="A90" s="22"/>
      <c r="B90" s="22"/>
      <c r="C90" s="26"/>
      <c r="D90" s="26"/>
      <c r="E90" s="22"/>
      <c r="F90" s="23"/>
      <c r="G90" s="30"/>
      <c r="H90" s="25" t="str">
        <f aca="false">IF(OR(F90="",G90=""),"",F90*G90)</f>
        <v/>
      </c>
      <c r="I90" s="22"/>
      <c r="J90" s="26"/>
      <c r="K90" s="27" t="str">
        <f aca="false">IF(OR(A90="",J90="",E90="Complete"),"",J90-Settings!$C$6)</f>
        <v/>
      </c>
      <c r="L90" s="21" t="str">
        <f aca="false">IF(K90="","",IF(K90&lt;0,"Overdue",IF(K90&lt;=7,"This week","")))</f>
        <v/>
      </c>
      <c r="M90" s="22"/>
      <c r="N90" s="22"/>
    </row>
    <row r="91" customFormat="false" ht="15" hidden="false" customHeight="false" outlineLevel="0" collapsed="false">
      <c r="A91" s="22"/>
      <c r="B91" s="22"/>
      <c r="C91" s="26"/>
      <c r="D91" s="26"/>
      <c r="E91" s="22"/>
      <c r="F91" s="23"/>
      <c r="G91" s="30"/>
      <c r="H91" s="25" t="str">
        <f aca="false">IF(OR(F91="",G91=""),"",F91*G91)</f>
        <v/>
      </c>
      <c r="I91" s="22"/>
      <c r="J91" s="26"/>
      <c r="K91" s="27" t="str">
        <f aca="false">IF(OR(A91="",J91="",E91="Complete"),"",J91-Settings!$C$6)</f>
        <v/>
      </c>
      <c r="L91" s="21" t="str">
        <f aca="false">IF(K91="","",IF(K91&lt;0,"Overdue",IF(K91&lt;=7,"This week","")))</f>
        <v/>
      </c>
      <c r="M91" s="22"/>
      <c r="N91" s="22"/>
    </row>
    <row r="92" customFormat="false" ht="15" hidden="false" customHeight="false" outlineLevel="0" collapsed="false">
      <c r="A92" s="22"/>
      <c r="B92" s="22"/>
      <c r="C92" s="26"/>
      <c r="D92" s="26"/>
      <c r="E92" s="22"/>
      <c r="F92" s="23"/>
      <c r="G92" s="30"/>
      <c r="H92" s="25" t="str">
        <f aca="false">IF(OR(F92="",G92=""),"",F92*G92)</f>
        <v/>
      </c>
      <c r="I92" s="22"/>
      <c r="J92" s="26"/>
      <c r="K92" s="27" t="str">
        <f aca="false">IF(OR(A92="",J92="",E92="Complete"),"",J92-Settings!$C$6)</f>
        <v/>
      </c>
      <c r="L92" s="21" t="str">
        <f aca="false">IF(K92="","",IF(K92&lt;0,"Overdue",IF(K92&lt;=7,"This week","")))</f>
        <v/>
      </c>
      <c r="M92" s="22"/>
      <c r="N92" s="22"/>
    </row>
    <row r="93" customFormat="false" ht="15" hidden="false" customHeight="false" outlineLevel="0" collapsed="false">
      <c r="A93" s="22"/>
      <c r="B93" s="22"/>
      <c r="C93" s="26"/>
      <c r="D93" s="26"/>
      <c r="E93" s="22"/>
      <c r="F93" s="23"/>
      <c r="G93" s="30"/>
      <c r="H93" s="25" t="str">
        <f aca="false">IF(OR(F93="",G93=""),"",F93*G93)</f>
        <v/>
      </c>
      <c r="I93" s="22"/>
      <c r="J93" s="26"/>
      <c r="K93" s="27" t="str">
        <f aca="false">IF(OR(A93="",J93="",E93="Complete"),"",J93-Settings!$C$6)</f>
        <v/>
      </c>
      <c r="L93" s="21" t="str">
        <f aca="false">IF(K93="","",IF(K93&lt;0,"Overdue",IF(K93&lt;=7,"This week","")))</f>
        <v/>
      </c>
      <c r="M93" s="22"/>
      <c r="N93" s="22"/>
    </row>
    <row r="94" customFormat="false" ht="15" hidden="false" customHeight="false" outlineLevel="0" collapsed="false">
      <c r="A94" s="22"/>
      <c r="B94" s="22"/>
      <c r="C94" s="26"/>
      <c r="D94" s="26"/>
      <c r="E94" s="22"/>
      <c r="F94" s="23"/>
      <c r="G94" s="30"/>
      <c r="H94" s="25" t="str">
        <f aca="false">IF(OR(F94="",G94=""),"",F94*G94)</f>
        <v/>
      </c>
      <c r="I94" s="22"/>
      <c r="J94" s="26"/>
      <c r="K94" s="27" t="str">
        <f aca="false">IF(OR(A94="",J94="",E94="Complete"),"",J94-Settings!$C$6)</f>
        <v/>
      </c>
      <c r="L94" s="21" t="str">
        <f aca="false">IF(K94="","",IF(K94&lt;0,"Overdue",IF(K94&lt;=7,"This week","")))</f>
        <v/>
      </c>
      <c r="M94" s="22"/>
      <c r="N94" s="22"/>
    </row>
    <row r="95" customFormat="false" ht="15" hidden="false" customHeight="false" outlineLevel="0" collapsed="false">
      <c r="A95" s="22"/>
      <c r="B95" s="22"/>
      <c r="C95" s="26"/>
      <c r="D95" s="26"/>
      <c r="E95" s="22"/>
      <c r="F95" s="23"/>
      <c r="G95" s="30"/>
      <c r="H95" s="25" t="str">
        <f aca="false">IF(OR(F95="",G95=""),"",F95*G95)</f>
        <v/>
      </c>
      <c r="I95" s="22"/>
      <c r="J95" s="26"/>
      <c r="K95" s="27" t="str">
        <f aca="false">IF(OR(A95="",J95="",E95="Complete"),"",J95-Settings!$C$6)</f>
        <v/>
      </c>
      <c r="L95" s="21" t="str">
        <f aca="false">IF(K95="","",IF(K95&lt;0,"Overdue",IF(K95&lt;=7,"This week","")))</f>
        <v/>
      </c>
      <c r="M95" s="22"/>
      <c r="N95" s="22"/>
    </row>
    <row r="96" customFormat="false" ht="15" hidden="false" customHeight="false" outlineLevel="0" collapsed="false">
      <c r="A96" s="22"/>
      <c r="B96" s="22"/>
      <c r="C96" s="26"/>
      <c r="D96" s="26"/>
      <c r="E96" s="22"/>
      <c r="F96" s="23"/>
      <c r="G96" s="30"/>
      <c r="H96" s="25" t="str">
        <f aca="false">IF(OR(F96="",G96=""),"",F96*G96)</f>
        <v/>
      </c>
      <c r="I96" s="22"/>
      <c r="J96" s="26"/>
      <c r="K96" s="27" t="str">
        <f aca="false">IF(OR(A96="",J96="",E96="Complete"),"",J96-Settings!$C$6)</f>
        <v/>
      </c>
      <c r="L96" s="21" t="str">
        <f aca="false">IF(K96="","",IF(K96&lt;0,"Overdue",IF(K96&lt;=7,"This week","")))</f>
        <v/>
      </c>
      <c r="M96" s="22"/>
      <c r="N96" s="22"/>
    </row>
    <row r="97" customFormat="false" ht="15" hidden="false" customHeight="false" outlineLevel="0" collapsed="false">
      <c r="A97" s="22"/>
      <c r="B97" s="22"/>
      <c r="C97" s="26"/>
      <c r="D97" s="26"/>
      <c r="E97" s="22"/>
      <c r="F97" s="23"/>
      <c r="G97" s="30"/>
      <c r="H97" s="25" t="str">
        <f aca="false">IF(OR(F97="",G97=""),"",F97*G97)</f>
        <v/>
      </c>
      <c r="I97" s="22"/>
      <c r="J97" s="26"/>
      <c r="K97" s="27" t="str">
        <f aca="false">IF(OR(A97="",J97="",E97="Complete"),"",J97-Settings!$C$6)</f>
        <v/>
      </c>
      <c r="L97" s="21" t="str">
        <f aca="false">IF(K97="","",IF(K97&lt;0,"Overdue",IF(K97&lt;=7,"This week","")))</f>
        <v/>
      </c>
      <c r="M97" s="22"/>
      <c r="N97" s="22"/>
    </row>
    <row r="98" customFormat="false" ht="15" hidden="false" customHeight="false" outlineLevel="0" collapsed="false">
      <c r="A98" s="22"/>
      <c r="B98" s="22"/>
      <c r="C98" s="26"/>
      <c r="D98" s="26"/>
      <c r="E98" s="22"/>
      <c r="F98" s="23"/>
      <c r="G98" s="30"/>
      <c r="H98" s="25" t="str">
        <f aca="false">IF(OR(F98="",G98=""),"",F98*G98)</f>
        <v/>
      </c>
      <c r="I98" s="22"/>
      <c r="J98" s="26"/>
      <c r="K98" s="27" t="str">
        <f aca="false">IF(OR(A98="",J98="",E98="Complete"),"",J98-Settings!$C$6)</f>
        <v/>
      </c>
      <c r="L98" s="21" t="str">
        <f aca="false">IF(K98="","",IF(K98&lt;0,"Overdue",IF(K98&lt;=7,"This week","")))</f>
        <v/>
      </c>
      <c r="M98" s="22"/>
      <c r="N98" s="22"/>
    </row>
    <row r="99" customFormat="false" ht="15" hidden="false" customHeight="false" outlineLevel="0" collapsed="false">
      <c r="A99" s="22"/>
      <c r="B99" s="22"/>
      <c r="C99" s="26"/>
      <c r="D99" s="26"/>
      <c r="E99" s="22"/>
      <c r="F99" s="23"/>
      <c r="G99" s="30"/>
      <c r="H99" s="25" t="str">
        <f aca="false">IF(OR(F99="",G99=""),"",F99*G99)</f>
        <v/>
      </c>
      <c r="I99" s="22"/>
      <c r="J99" s="26"/>
      <c r="K99" s="27" t="str">
        <f aca="false">IF(OR(A99="",J99="",E99="Complete"),"",J99-Settings!$C$6)</f>
        <v/>
      </c>
      <c r="L99" s="21" t="str">
        <f aca="false">IF(K99="","",IF(K99&lt;0,"Overdue",IF(K99&lt;=7,"This week","")))</f>
        <v/>
      </c>
      <c r="M99" s="22"/>
      <c r="N99" s="22"/>
    </row>
    <row r="100" customFormat="false" ht="15" hidden="false" customHeight="false" outlineLevel="0" collapsed="false">
      <c r="A100" s="22"/>
      <c r="B100" s="22"/>
      <c r="C100" s="26"/>
      <c r="D100" s="26"/>
      <c r="E100" s="22"/>
      <c r="F100" s="23"/>
      <c r="G100" s="30"/>
      <c r="H100" s="25" t="str">
        <f aca="false">IF(OR(F100="",G100=""),"",F100*G100)</f>
        <v/>
      </c>
      <c r="I100" s="22"/>
      <c r="J100" s="26"/>
      <c r="K100" s="27" t="str">
        <f aca="false">IF(OR(A100="",J100="",E100="Complete"),"",J100-Settings!$C$6)</f>
        <v/>
      </c>
      <c r="L100" s="21" t="str">
        <f aca="false">IF(K100="","",IF(K100&lt;0,"Overdue",IF(K100&lt;=7,"This week","")))</f>
        <v/>
      </c>
      <c r="M100" s="22"/>
      <c r="N100" s="22"/>
    </row>
    <row r="101" customFormat="false" ht="15" hidden="false" customHeight="false" outlineLevel="0" collapsed="false">
      <c r="A101" s="22"/>
      <c r="B101" s="22"/>
      <c r="C101" s="26"/>
      <c r="D101" s="26"/>
      <c r="E101" s="22"/>
      <c r="F101" s="23"/>
      <c r="G101" s="30"/>
      <c r="H101" s="25" t="str">
        <f aca="false">IF(OR(F101="",G101=""),"",F101*G101)</f>
        <v/>
      </c>
      <c r="I101" s="22"/>
      <c r="J101" s="26"/>
      <c r="K101" s="27" t="str">
        <f aca="false">IF(OR(A101="",J101="",E101="Complete"),"",J101-Settings!$C$6)</f>
        <v/>
      </c>
      <c r="L101" s="21" t="str">
        <f aca="false">IF(K101="","",IF(K101&lt;0,"Overdue",IF(K101&lt;=7,"This week","")))</f>
        <v/>
      </c>
      <c r="M101" s="22"/>
      <c r="N101" s="22"/>
    </row>
    <row r="102" customFormat="false" ht="15" hidden="false" customHeight="false" outlineLevel="0" collapsed="false">
      <c r="A102" s="22"/>
      <c r="B102" s="22"/>
      <c r="C102" s="26"/>
      <c r="D102" s="26"/>
      <c r="E102" s="22"/>
      <c r="F102" s="23"/>
      <c r="G102" s="30"/>
      <c r="H102" s="25" t="str">
        <f aca="false">IF(OR(F102="",G102=""),"",F102*G102)</f>
        <v/>
      </c>
      <c r="I102" s="22"/>
      <c r="J102" s="26"/>
      <c r="K102" s="27" t="str">
        <f aca="false">IF(OR(A102="",J102="",E102="Complete"),"",J102-Settings!$C$6)</f>
        <v/>
      </c>
      <c r="L102" s="21" t="str">
        <f aca="false">IF(K102="","",IF(K102&lt;0,"Overdue",IF(K102&lt;=7,"This week","")))</f>
        <v/>
      </c>
      <c r="M102" s="22"/>
      <c r="N102" s="22"/>
    </row>
    <row r="103" customFormat="false" ht="15" hidden="false" customHeight="false" outlineLevel="0" collapsed="false">
      <c r="A103" s="22"/>
      <c r="B103" s="22"/>
      <c r="C103" s="26"/>
      <c r="D103" s="26"/>
      <c r="E103" s="22"/>
      <c r="F103" s="23"/>
      <c r="G103" s="30"/>
      <c r="H103" s="25" t="str">
        <f aca="false">IF(OR(F103="",G103=""),"",F103*G103)</f>
        <v/>
      </c>
      <c r="I103" s="22"/>
      <c r="J103" s="26"/>
      <c r="K103" s="27" t="str">
        <f aca="false">IF(OR(A103="",J103="",E103="Complete"),"",J103-Settings!$C$6)</f>
        <v/>
      </c>
      <c r="L103" s="21" t="str">
        <f aca="false">IF(K103="","",IF(K103&lt;0,"Overdue",IF(K103&lt;=7,"This week","")))</f>
        <v/>
      </c>
      <c r="M103" s="22"/>
      <c r="N103" s="22"/>
    </row>
    <row r="104" customFormat="false" ht="15" hidden="false" customHeight="false" outlineLevel="0" collapsed="false">
      <c r="A104" s="22"/>
      <c r="B104" s="22"/>
      <c r="C104" s="26"/>
      <c r="D104" s="26"/>
      <c r="E104" s="22"/>
      <c r="F104" s="23"/>
      <c r="G104" s="30"/>
      <c r="H104" s="25" t="str">
        <f aca="false">IF(OR(F104="",G104=""),"",F104*G104)</f>
        <v/>
      </c>
      <c r="I104" s="22"/>
      <c r="J104" s="26"/>
      <c r="K104" s="27" t="str">
        <f aca="false">IF(OR(A104="",J104="",E104="Complete"),"",J104-Settings!$C$6)</f>
        <v/>
      </c>
      <c r="L104" s="21" t="str">
        <f aca="false">IF(K104="","",IF(K104&lt;0,"Overdue",IF(K104&lt;=7,"This week","")))</f>
        <v/>
      </c>
      <c r="M104" s="22"/>
      <c r="N104" s="22"/>
    </row>
  </sheetData>
  <autoFilter ref="A4:N104"/>
  <conditionalFormatting sqref="L5:L104">
    <cfRule type="expression" priority="2" aboveAverage="0" equalAverage="0" bottom="0" percent="0" rank="0" text="" dxfId="9">
      <formula>L5="Overdue"</formula>
    </cfRule>
    <cfRule type="expression" priority="3" aboveAverage="0" equalAverage="0" bottom="0" percent="0" rank="0" text="" dxfId="11">
      <formula>L5="This week"</formula>
    </cfRule>
  </conditionalFormatting>
  <dataValidations count="3">
    <dataValidation allowBlank="true" error="Please pick a value from the list (edit lists on the Settings tab)." errorStyle="stop" errorTitle="Not in list" operator="between" showDropDown="false" showErrorMessage="true" showInputMessage="false" sqref="E5:E104" type="list">
      <formula1>Settings!$K$14:$K$18</formula1>
      <formula2>0</formula2>
    </dataValidation>
    <dataValidation allowBlank="true" error="Please pick a value from the list (edit lists on the Settings tab)." errorStyle="stop" errorTitle="Not in list" operator="between" prompt="Pick a client from the Clients &amp; Pipeline tab." promptTitle="Choose from the list" showDropDown="false" showErrorMessage="true" showInputMessage="true" sqref="B5:B104" type="list">
      <formula1>'Clients &amp; Pipeline'!$B$5:$B$154</formula1>
      <formula2>0</formula2>
    </dataValidation>
    <dataValidation allowBlank="true" error="Please pick a value from the list (edit lists on the Settings tab)." errorStyle="stop" errorTitle="Not in list" operator="between" showDropDown="false" showErrorMessage="true" showInputMessage="false" sqref="M5:M104" type="list">
      <formula1>"Monday,Tuesday,Wednesday,Thursday,Friday"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T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11" min="6" style="0" width="12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3"/>
    <col collapsed="false" customWidth="true" hidden="false" outlineLevel="0" max="17" min="17" style="0" width="16"/>
    <col collapsed="false" customWidth="true" hidden="false" outlineLevel="0" max="18" min="18" style="0" width="28"/>
    <col collapsed="false" customWidth="true" hidden="false" outlineLevel="0" max="20" min="19" style="0" width="9"/>
  </cols>
  <sheetData>
    <row r="1" customFormat="false" ht="30" hidden="false" customHeight="true" outlineLevel="0" collapsed="false">
      <c r="A1" s="7" t="s">
        <v>146</v>
      </c>
    </row>
    <row r="2" customFormat="false" ht="15" hidden="false" customHeight="false" outlineLevel="0" collapsed="false">
      <c r="A2" s="2" t="s">
        <v>147</v>
      </c>
    </row>
    <row r="3" customFormat="false" ht="15" hidden="false" customHeight="false" outlineLevel="0" collapsed="false">
      <c r="A3" s="19" t="s">
        <v>58</v>
      </c>
    </row>
    <row r="4" customFormat="false" ht="33.75" hidden="false" customHeight="true" outlineLevel="0" collapsed="false">
      <c r="A4" s="13" t="s">
        <v>43</v>
      </c>
      <c r="B4" s="13" t="s">
        <v>39</v>
      </c>
      <c r="C4" s="13" t="s">
        <v>148</v>
      </c>
      <c r="D4" s="13" t="s">
        <v>149</v>
      </c>
      <c r="E4" s="13" t="s">
        <v>150</v>
      </c>
      <c r="F4" s="13" t="s">
        <v>127</v>
      </c>
      <c r="G4" s="13" t="s">
        <v>151</v>
      </c>
      <c r="H4" s="13" t="s">
        <v>152</v>
      </c>
      <c r="I4" s="13" t="s">
        <v>153</v>
      </c>
      <c r="J4" s="13" t="s">
        <v>44</v>
      </c>
      <c r="K4" s="13" t="s">
        <v>42</v>
      </c>
      <c r="L4" s="13" t="s">
        <v>154</v>
      </c>
      <c r="M4" s="13" t="s">
        <v>155</v>
      </c>
      <c r="N4" s="13" t="s">
        <v>156</v>
      </c>
      <c r="O4" s="13" t="s">
        <v>157</v>
      </c>
      <c r="P4" s="13" t="s">
        <v>158</v>
      </c>
      <c r="Q4" s="13" t="s">
        <v>45</v>
      </c>
      <c r="R4" s="13" t="s">
        <v>76</v>
      </c>
      <c r="S4" s="20" t="s">
        <v>159</v>
      </c>
      <c r="T4" s="20" t="s">
        <v>78</v>
      </c>
    </row>
    <row r="5" customFormat="false" ht="15" hidden="false" customHeight="false" outlineLevel="0" collapsed="false">
      <c r="A5" s="22" t="s">
        <v>160</v>
      </c>
      <c r="B5" s="22" t="s">
        <v>79</v>
      </c>
      <c r="C5" s="22" t="s">
        <v>161</v>
      </c>
      <c r="D5" s="26" t="n">
        <f aca="false">Settings!$C$6-45</f>
        <v>46244</v>
      </c>
      <c r="E5" s="22" t="n">
        <v>14</v>
      </c>
      <c r="F5" s="28" t="n">
        <f aca="false">IF(D5="","",D5+IF(E5="",Settings!$C$7,E5))</f>
        <v>46258</v>
      </c>
      <c r="G5" s="23" t="n">
        <v>2400</v>
      </c>
      <c r="H5" s="23" t="n">
        <v>2400</v>
      </c>
      <c r="I5" s="26" t="n">
        <f aca="false">Settings!$C$6-33</f>
        <v>46256</v>
      </c>
      <c r="J5" s="25" t="n">
        <f aca="false">IF(G5="","",G5-N(H5))</f>
        <v>0</v>
      </c>
      <c r="K5" s="21" t="str">
        <f aca="false">IF(OR(G5="",F5=""),"",IF(J5&lt;=0,"Paid",IF(Settings!$C$6&lt;F5,IF(N(H5)&gt;0,"Part-paid","Not due"),IF(Settings!$C$6=F5,"Due today","Overdue"))))</f>
        <v>Paid</v>
      </c>
      <c r="L5" s="27" t="str">
        <f aca="false">IF(OR(G5="",F5=""),"",IF(J5&lt;=0,"",MAX(0,Settings!$C$6-F5)))</f>
        <v/>
      </c>
      <c r="M5" s="31" t="str">
        <f aca="false">IF(OR(G5="",F5=""),"",IF(J5&lt;=0,"Paid",IF(Settings!$C$6&gt;=F5+Settings!$P$18,"E",IF(Settings!$C$6&gt;=F5+Settings!$P$17,"D",IF(Settings!$C$6&gt;=F5+Settings!$P$16,"C",IF(Settings!$C$6&gt;=F5+Settings!$P$15,"B",IF(Settings!$C$6&gt;=F5+Settings!$P$14,"A","—")))))))</f>
        <v>Paid</v>
      </c>
      <c r="N5" s="28" t="str">
        <f aca="false">IF(OR(G5="",F5="",J5&lt;=0),"",IF(Settings!$C$6&lt;F5+Settings!$P$14,F5+Settings!$P$14,IF(Settings!$C$6&lt;F5+Settings!$P$15,F5+Settings!$P$15,IF(Settings!$C$6&lt;F5+Settings!$P$16,F5+Settings!$P$16,IF(Settings!$C$6&lt;F5+Settings!$P$17,F5+Settings!$P$17,IF(Settings!$C$6&lt;F5+Settings!$P$18,F5+Settings!$P$18,""))))))</f>
        <v/>
      </c>
      <c r="O5" s="22"/>
      <c r="P5" s="26"/>
      <c r="Q5" s="21" t="str">
        <f aca="false">IF(OR(M5="",M5="Paid",M5="—"),IF(M5="Paid","Paid ✓",""),IF(O5="","Send "&amp;M5&amp;" now",IF(CODE(M5)&gt;CODE(O5),"Send "&amp;M5&amp;" now","Up to date")))</f>
        <v>Paid ✓</v>
      </c>
      <c r="R5" s="22" t="s">
        <v>162</v>
      </c>
      <c r="S5" s="29" t="n">
        <f aca="false">IF(LEFT(Q5,4)="Send",1,0)</f>
        <v>0</v>
      </c>
      <c r="T5" s="29" t="str">
        <f aca="false">IF(S5=0,"",COUNTIFS($S$5:$S$204,1,$F$5:$F$204,"&lt;"&amp;F5)+COUNTIFS($S$5:$S5,1,$F$5:$F5,F5))</f>
        <v/>
      </c>
    </row>
    <row r="6" customFormat="false" ht="15" hidden="false" customHeight="false" outlineLevel="0" collapsed="false">
      <c r="A6" s="22" t="s">
        <v>163</v>
      </c>
      <c r="B6" s="22" t="s">
        <v>79</v>
      </c>
      <c r="C6" s="22" t="s">
        <v>164</v>
      </c>
      <c r="D6" s="26" t="n">
        <f aca="false">Settings!$C$6-22</f>
        <v>46267</v>
      </c>
      <c r="E6" s="22" t="n">
        <v>14</v>
      </c>
      <c r="F6" s="28" t="n">
        <f aca="false">IF(D6="","",D6+IF(E6="",Settings!$C$7,E6))</f>
        <v>46281</v>
      </c>
      <c r="G6" s="23" t="n">
        <v>1200</v>
      </c>
      <c r="H6" s="23"/>
      <c r="I6" s="26"/>
      <c r="J6" s="25" t="n">
        <f aca="false">IF(G6="","",G6-N(H6))</f>
        <v>1200</v>
      </c>
      <c r="K6" s="21" t="str">
        <f aca="false">IF(OR(G6="",F6=""),"",IF(J6&lt;=0,"Paid",IF(Settings!$C$6&lt;F6,IF(N(H6)&gt;0,"Part-paid","Not due"),IF(Settings!$C$6=F6,"Due today","Overdue"))))</f>
        <v>Overdue</v>
      </c>
      <c r="L6" s="27" t="n">
        <f aca="false">IF(OR(G6="",F6=""),"",IF(J6&lt;=0,"",MAX(0,Settings!$C$6-F6)))</f>
        <v>8</v>
      </c>
      <c r="M6" s="31" t="str">
        <f aca="false">IF(OR(G6="",F6=""),"",IF(J6&lt;=0,"Paid",IF(Settings!$C$6&gt;=F6+Settings!$P$18,"E",IF(Settings!$C$6&gt;=F6+Settings!$P$17,"D",IF(Settings!$C$6&gt;=F6+Settings!$P$16,"C",IF(Settings!$C$6&gt;=F6+Settings!$P$15,"B",IF(Settings!$C$6&gt;=F6+Settings!$P$14,"A","—")))))))</f>
        <v>C</v>
      </c>
      <c r="N6" s="28" t="n">
        <f aca="false">IF(OR(G6="",F6="",J6&lt;=0),"",IF(Settings!$C$6&lt;F6+Settings!$P$14,F6+Settings!$P$14,IF(Settings!$C$6&lt;F6+Settings!$P$15,F6+Settings!$P$15,IF(Settings!$C$6&lt;F6+Settings!$P$16,F6+Settings!$P$16,IF(Settings!$C$6&lt;F6+Settings!$P$17,F6+Settings!$P$17,IF(Settings!$C$6&lt;F6+Settings!$P$18,F6+Settings!$P$18,""))))))</f>
        <v>46295</v>
      </c>
      <c r="O6" s="22" t="s">
        <v>165</v>
      </c>
      <c r="P6" s="26" t="n">
        <f aca="false">Settings!$C$6-1</f>
        <v>46288</v>
      </c>
      <c r="Q6" s="21" t="str">
        <f aca="false">IF(OR(M6="",M6="Paid",M6="—"),IF(M6="Paid","Paid ✓",""),IF(O6="","Send "&amp;M6&amp;" now",IF(CODE(M6)&gt;CODE(O6),"Send "&amp;M6&amp;" now","Up to date")))</f>
        <v>Up to date</v>
      </c>
      <c r="R6" s="22" t="s">
        <v>166</v>
      </c>
      <c r="S6" s="29" t="n">
        <f aca="false">IF(LEFT(Q6,4)="Send",1,0)</f>
        <v>0</v>
      </c>
      <c r="T6" s="29" t="str">
        <f aca="false">IF(S6=0,"",COUNTIFS($S$5:$S$204,1,$F$5:$F$204,"&lt;"&amp;F6)+COUNTIFS($S$5:$S6,1,$F$5:$F6,F6))</f>
        <v/>
      </c>
    </row>
    <row r="7" customFormat="false" ht="15" hidden="false" customHeight="false" outlineLevel="0" collapsed="false">
      <c r="A7" s="22" t="s">
        <v>167</v>
      </c>
      <c r="B7" s="22" t="s">
        <v>113</v>
      </c>
      <c r="C7" s="22" t="s">
        <v>168</v>
      </c>
      <c r="D7" s="26" t="n">
        <f aca="false">Settings!$C$6-44</f>
        <v>46245</v>
      </c>
      <c r="E7" s="22" t="n">
        <v>14</v>
      </c>
      <c r="F7" s="28" t="n">
        <f aca="false">IF(D7="","",D7+IF(E7="",Settings!$C$7,E7))</f>
        <v>46259</v>
      </c>
      <c r="G7" s="23" t="n">
        <v>450</v>
      </c>
      <c r="H7" s="23"/>
      <c r="I7" s="26"/>
      <c r="J7" s="25" t="n">
        <f aca="false">IF(G7="","",G7-N(H7))</f>
        <v>450</v>
      </c>
      <c r="K7" s="21" t="str">
        <f aca="false">IF(OR(G7="",F7=""),"",IF(J7&lt;=0,"Paid",IF(Settings!$C$6&lt;F7,IF(N(H7)&gt;0,"Part-paid","Not due"),IF(Settings!$C$6=F7,"Due today","Overdue"))))</f>
        <v>Overdue</v>
      </c>
      <c r="L7" s="27" t="n">
        <f aca="false">IF(OR(G7="",F7=""),"",IF(J7&lt;=0,"",MAX(0,Settings!$C$6-F7)))</f>
        <v>30</v>
      </c>
      <c r="M7" s="31" t="str">
        <f aca="false">IF(OR(G7="",F7=""),"",IF(J7&lt;=0,"Paid",IF(Settings!$C$6&gt;=F7+Settings!$P$18,"E",IF(Settings!$C$6&gt;=F7+Settings!$P$17,"D",IF(Settings!$C$6&gt;=F7+Settings!$P$16,"C",IF(Settings!$C$6&gt;=F7+Settings!$P$15,"B",IF(Settings!$C$6&gt;=F7+Settings!$P$14,"A","—")))))))</f>
        <v>E</v>
      </c>
      <c r="N7" s="28" t="str">
        <f aca="false">IF(OR(G7="",F7="",J7&lt;=0),"",IF(Settings!$C$6&lt;F7+Settings!$P$14,F7+Settings!$P$14,IF(Settings!$C$6&lt;F7+Settings!$P$15,F7+Settings!$P$15,IF(Settings!$C$6&lt;F7+Settings!$P$16,F7+Settings!$P$16,IF(Settings!$C$6&lt;F7+Settings!$P$17,F7+Settings!$P$17,IF(Settings!$C$6&lt;F7+Settings!$P$18,F7+Settings!$P$18,""))))))</f>
        <v/>
      </c>
      <c r="O7" s="22" t="s">
        <v>165</v>
      </c>
      <c r="P7" s="26" t="n">
        <f aca="false">Settings!$C$6-23</f>
        <v>46266</v>
      </c>
      <c r="Q7" s="21" t="str">
        <f aca="false">IF(OR(M7="",M7="Paid",M7="—"),IF(M7="Paid","Paid ✓",""),IF(O7="","Send "&amp;M7&amp;" now",IF(CODE(M7)&gt;CODE(O7),"Send "&amp;M7&amp;" now","Up to date")))</f>
        <v>Send E now</v>
      </c>
      <c r="R7" s="22" t="s">
        <v>169</v>
      </c>
      <c r="S7" s="29" t="n">
        <f aca="false">IF(LEFT(Q7,4)="Send",1,0)</f>
        <v>1</v>
      </c>
      <c r="T7" s="29" t="n">
        <f aca="false">IF(S7=0,"",COUNTIFS($S$5:$S$204,1,$F$5:$F$204,"&lt;"&amp;F7)+COUNTIFS($S$5:$S7,1,$F$5:$F7,F7))</f>
        <v>1</v>
      </c>
    </row>
    <row r="8" customFormat="false" ht="15" hidden="false" customHeight="false" outlineLevel="0" collapsed="false">
      <c r="A8" s="22" t="s">
        <v>170</v>
      </c>
      <c r="B8" s="22" t="s">
        <v>100</v>
      </c>
      <c r="C8" s="22" t="s">
        <v>161</v>
      </c>
      <c r="D8" s="26" t="n">
        <f aca="false">Settings!$C$6-12</f>
        <v>46277</v>
      </c>
      <c r="E8" s="22" t="n">
        <v>14</v>
      </c>
      <c r="F8" s="28" t="n">
        <f aca="false">IF(D8="","",D8+IF(E8="",Settings!$C$7,E8))</f>
        <v>46291</v>
      </c>
      <c r="G8" s="23" t="n">
        <v>2600</v>
      </c>
      <c r="H8" s="23"/>
      <c r="I8" s="26"/>
      <c r="J8" s="25" t="n">
        <f aca="false">IF(G8="","",G8-N(H8))</f>
        <v>2600</v>
      </c>
      <c r="K8" s="21" t="str">
        <f aca="false">IF(OR(G8="",F8=""),"",IF(J8&lt;=0,"Paid",IF(Settings!$C$6&lt;F8,IF(N(H8)&gt;0,"Part-paid","Not due"),IF(Settings!$C$6=F8,"Due today","Overdue"))))</f>
        <v>Not due</v>
      </c>
      <c r="L8" s="27" t="n">
        <f aca="false">IF(OR(G8="",F8=""),"",IF(J8&lt;=0,"",MAX(0,Settings!$C$6-F8)))</f>
        <v>0</v>
      </c>
      <c r="M8" s="31" t="str">
        <f aca="false">IF(OR(G8="",F8=""),"",IF(J8&lt;=0,"Paid",IF(Settings!$C$6&gt;=F8+Settings!$P$18,"E",IF(Settings!$C$6&gt;=F8+Settings!$P$17,"D",IF(Settings!$C$6&gt;=F8+Settings!$P$16,"C",IF(Settings!$C$6&gt;=F8+Settings!$P$15,"B",IF(Settings!$C$6&gt;=F8+Settings!$P$14,"A","—")))))))</f>
        <v>A</v>
      </c>
      <c r="N8" s="28" t="n">
        <f aca="false">IF(OR(G8="",F8="",J8&lt;=0),"",IF(Settings!$C$6&lt;F8+Settings!$P$14,F8+Settings!$P$14,IF(Settings!$C$6&lt;F8+Settings!$P$15,F8+Settings!$P$15,IF(Settings!$C$6&lt;F8+Settings!$P$16,F8+Settings!$P$16,IF(Settings!$C$6&lt;F8+Settings!$P$17,F8+Settings!$P$17,IF(Settings!$C$6&lt;F8+Settings!$P$18,F8+Settings!$P$18,""))))))</f>
        <v>46291</v>
      </c>
      <c r="O8" s="22"/>
      <c r="P8" s="26"/>
      <c r="Q8" s="21" t="str">
        <f aca="false">IF(OR(M8="",M8="Paid",M8="—"),IF(M8="Paid","Paid ✓",""),IF(O8="","Send "&amp;M8&amp;" now",IF(CODE(M8)&gt;CODE(O8),"Send "&amp;M8&amp;" now","Up to date")))</f>
        <v>Send A now</v>
      </c>
      <c r="R8" s="22" t="s">
        <v>171</v>
      </c>
      <c r="S8" s="29" t="n">
        <f aca="false">IF(LEFT(Q8,4)="Send",1,0)</f>
        <v>1</v>
      </c>
      <c r="T8" s="29" t="n">
        <f aca="false">IF(S8=0,"",COUNTIFS($S$5:$S$204,1,$F$5:$F$204,"&lt;"&amp;F8)+COUNTIFS($S$5:$S8,1,$F$5:$F8,F8))</f>
        <v>4</v>
      </c>
    </row>
    <row r="9" customFormat="false" ht="15" hidden="false" customHeight="false" outlineLevel="0" collapsed="false">
      <c r="A9" s="22" t="s">
        <v>172</v>
      </c>
      <c r="B9" s="22" t="s">
        <v>87</v>
      </c>
      <c r="C9" s="22" t="s">
        <v>173</v>
      </c>
      <c r="D9" s="26" t="n">
        <f aca="false">Settings!$C$6-14</f>
        <v>46275</v>
      </c>
      <c r="E9" s="22" t="n">
        <v>14</v>
      </c>
      <c r="F9" s="28" t="n">
        <f aca="false">IF(D9="","",D9+IF(E9="",Settings!$C$7,E9))</f>
        <v>46289</v>
      </c>
      <c r="G9" s="23" t="n">
        <v>600</v>
      </c>
      <c r="H9" s="23"/>
      <c r="I9" s="26"/>
      <c r="J9" s="25" t="n">
        <f aca="false">IF(G9="","",G9-N(H9))</f>
        <v>600</v>
      </c>
      <c r="K9" s="21" t="str">
        <f aca="false">IF(OR(G9="",F9=""),"",IF(J9&lt;=0,"Paid",IF(Settings!$C$6&lt;F9,IF(N(H9)&gt;0,"Part-paid","Not due"),IF(Settings!$C$6=F9,"Due today","Overdue"))))</f>
        <v>Due today</v>
      </c>
      <c r="L9" s="27" t="n">
        <f aca="false">IF(OR(G9="",F9=""),"",IF(J9&lt;=0,"",MAX(0,Settings!$C$6-F9)))</f>
        <v>0</v>
      </c>
      <c r="M9" s="31" t="str">
        <f aca="false">IF(OR(G9="",F9=""),"",IF(J9&lt;=0,"Paid",IF(Settings!$C$6&gt;=F9+Settings!$P$18,"E",IF(Settings!$C$6&gt;=F9+Settings!$P$17,"D",IF(Settings!$C$6&gt;=F9+Settings!$P$16,"C",IF(Settings!$C$6&gt;=F9+Settings!$P$15,"B",IF(Settings!$C$6&gt;=F9+Settings!$P$14,"A","—")))))))</f>
        <v>B</v>
      </c>
      <c r="N9" s="28" t="n">
        <f aca="false">IF(OR(G9="",F9="",J9&lt;=0),"",IF(Settings!$C$6&lt;F9+Settings!$P$14,F9+Settings!$P$14,IF(Settings!$C$6&lt;F9+Settings!$P$15,F9+Settings!$P$15,IF(Settings!$C$6&lt;F9+Settings!$P$16,F9+Settings!$P$16,IF(Settings!$C$6&lt;F9+Settings!$P$17,F9+Settings!$P$17,IF(Settings!$C$6&lt;F9+Settings!$P$18,F9+Settings!$P$18,""))))))</f>
        <v>46296</v>
      </c>
      <c r="O9" s="22" t="s">
        <v>174</v>
      </c>
      <c r="P9" s="26" t="n">
        <f aca="false">Settings!$C$6-3</f>
        <v>46286</v>
      </c>
      <c r="Q9" s="21" t="str">
        <f aca="false">IF(OR(M9="",M9="Paid",M9="—"),IF(M9="Paid","Paid ✓",""),IF(O9="","Send "&amp;M9&amp;" now",IF(CODE(M9)&gt;CODE(O9),"Send "&amp;M9&amp;" now","Up to date")))</f>
        <v>Send B now</v>
      </c>
      <c r="R9" s="22" t="s">
        <v>175</v>
      </c>
      <c r="S9" s="29" t="n">
        <f aca="false">IF(LEFT(Q9,4)="Send",1,0)</f>
        <v>1</v>
      </c>
      <c r="T9" s="29" t="n">
        <f aca="false">IF(S9=0,"",COUNTIFS($S$5:$S$204,1,$F$5:$F$204,"&lt;"&amp;F9)+COUNTIFS($S$5:$S9,1,$F$5:$F9,F9))</f>
        <v>3</v>
      </c>
    </row>
    <row r="10" customFormat="false" ht="15" hidden="false" customHeight="false" outlineLevel="0" collapsed="false">
      <c r="A10" s="22" t="s">
        <v>176</v>
      </c>
      <c r="B10" s="22" t="s">
        <v>93</v>
      </c>
      <c r="C10" s="22" t="s">
        <v>177</v>
      </c>
      <c r="D10" s="26" t="n">
        <f aca="false">Settings!$C$6-2</f>
        <v>46287</v>
      </c>
      <c r="E10" s="22" t="n">
        <v>14</v>
      </c>
      <c r="F10" s="28" t="n">
        <f aca="false">IF(D10="","",D10+IF(E10="",Settings!$C$7,E10))</f>
        <v>46301</v>
      </c>
      <c r="G10" s="23" t="n">
        <v>250</v>
      </c>
      <c r="H10" s="23" t="n">
        <v>100</v>
      </c>
      <c r="I10" s="26" t="n">
        <f aca="false">Settings!$C$6-1</f>
        <v>46288</v>
      </c>
      <c r="J10" s="25" t="n">
        <f aca="false">IF(G10="","",G10-N(H10))</f>
        <v>150</v>
      </c>
      <c r="K10" s="21" t="str">
        <f aca="false">IF(OR(G10="",F10=""),"",IF(J10&lt;=0,"Paid",IF(Settings!$C$6&lt;F10,IF(N(H10)&gt;0,"Part-paid","Not due"),IF(Settings!$C$6=F10,"Due today","Overdue"))))</f>
        <v>Part-paid</v>
      </c>
      <c r="L10" s="27" t="n">
        <f aca="false">IF(OR(G10="",F10=""),"",IF(J10&lt;=0,"",MAX(0,Settings!$C$6-F10)))</f>
        <v>0</v>
      </c>
      <c r="M10" s="31" t="str">
        <f aca="false">IF(OR(G10="",F10=""),"",IF(J10&lt;=0,"Paid",IF(Settings!$C$6&gt;=F10+Settings!$P$18,"E",IF(Settings!$C$6&gt;=F10+Settings!$P$17,"D",IF(Settings!$C$6&gt;=F10+Settings!$P$16,"C",IF(Settings!$C$6&gt;=F10+Settings!$P$15,"B",IF(Settings!$C$6&gt;=F10+Settings!$P$14,"A","—")))))))</f>
        <v>—</v>
      </c>
      <c r="N10" s="28" t="n">
        <f aca="false">IF(OR(G10="",F10="",J10&lt;=0),"",IF(Settings!$C$6&lt;F10+Settings!$P$14,F10+Settings!$P$14,IF(Settings!$C$6&lt;F10+Settings!$P$15,F10+Settings!$P$15,IF(Settings!$C$6&lt;F10+Settings!$P$16,F10+Settings!$P$16,IF(Settings!$C$6&lt;F10+Settings!$P$17,F10+Settings!$P$17,IF(Settings!$C$6&lt;F10+Settings!$P$18,F10+Settings!$P$18,""))))))</f>
        <v>46298</v>
      </c>
      <c r="O10" s="22"/>
      <c r="P10" s="26"/>
      <c r="Q10" s="21" t="str">
        <f aca="false">IF(OR(M10="",M10="Paid",M10="—"),IF(M10="Paid","Paid ✓",""),IF(O10="","Send "&amp;M10&amp;" now",IF(CODE(M10)&gt;CODE(O10),"Send "&amp;M10&amp;" now","Up to date")))</f>
        <v/>
      </c>
      <c r="R10" s="22" t="s">
        <v>178</v>
      </c>
      <c r="S10" s="29" t="n">
        <f aca="false">IF(LEFT(Q10,4)="Send",1,0)</f>
        <v>0</v>
      </c>
      <c r="T10" s="29" t="str">
        <f aca="false">IF(S10=0,"",COUNTIFS($S$5:$S$204,1,$F$5:$F$204,"&lt;"&amp;F10)+COUNTIFS($S$5:$S10,1,$F$5:$F10,F10))</f>
        <v/>
      </c>
    </row>
    <row r="11" customFormat="false" ht="15" hidden="false" customHeight="false" outlineLevel="0" collapsed="false">
      <c r="A11" s="22" t="s">
        <v>179</v>
      </c>
      <c r="B11" s="22" t="s">
        <v>79</v>
      </c>
      <c r="C11" s="22" t="s">
        <v>180</v>
      </c>
      <c r="D11" s="26" t="n">
        <f aca="false">Settings!$C$6-29</f>
        <v>46260</v>
      </c>
      <c r="E11" s="22" t="n">
        <v>14</v>
      </c>
      <c r="F11" s="28" t="n">
        <f aca="false">IF(D11="","",D11+IF(E11="",Settings!$C$7,E11))</f>
        <v>46274</v>
      </c>
      <c r="G11" s="23" t="n">
        <v>180</v>
      </c>
      <c r="H11" s="23"/>
      <c r="I11" s="26"/>
      <c r="J11" s="25" t="n">
        <f aca="false">IF(G11="","",G11-N(H11))</f>
        <v>180</v>
      </c>
      <c r="K11" s="21" t="str">
        <f aca="false">IF(OR(G11="",F11=""),"",IF(J11&lt;=0,"Paid",IF(Settings!$C$6&lt;F11,IF(N(H11)&gt;0,"Part-paid","Not due"),IF(Settings!$C$6=F11,"Due today","Overdue"))))</f>
        <v>Overdue</v>
      </c>
      <c r="L11" s="27" t="n">
        <f aca="false">IF(OR(G11="",F11=""),"",IF(J11&lt;=0,"",MAX(0,Settings!$C$6-F11)))</f>
        <v>15</v>
      </c>
      <c r="M11" s="31" t="str">
        <f aca="false">IF(OR(G11="",F11=""),"",IF(J11&lt;=0,"Paid",IF(Settings!$C$6&gt;=F11+Settings!$P$18,"E",IF(Settings!$C$6&gt;=F11+Settings!$P$17,"D",IF(Settings!$C$6&gt;=F11+Settings!$P$16,"C",IF(Settings!$C$6&gt;=F11+Settings!$P$15,"B",IF(Settings!$C$6&gt;=F11+Settings!$P$14,"A","—")))))))</f>
        <v>D</v>
      </c>
      <c r="N11" s="28" t="n">
        <f aca="false">IF(OR(G11="",F11="",J11&lt;=0),"",IF(Settings!$C$6&lt;F11+Settings!$P$14,F11+Settings!$P$14,IF(Settings!$C$6&lt;F11+Settings!$P$15,F11+Settings!$P$15,IF(Settings!$C$6&lt;F11+Settings!$P$16,F11+Settings!$P$16,IF(Settings!$C$6&lt;F11+Settings!$P$17,F11+Settings!$P$17,IF(Settings!$C$6&lt;F11+Settings!$P$18,F11+Settings!$P$18,""))))))</f>
        <v>46304</v>
      </c>
      <c r="O11" s="22"/>
      <c r="P11" s="26"/>
      <c r="Q11" s="21" t="str">
        <f aca="false">IF(OR(M11="",M11="Paid",M11="—"),IF(M11="Paid","Paid ✓",""),IF(O11="","Send "&amp;M11&amp;" now",IF(CODE(M11)&gt;CODE(O11),"Send "&amp;M11&amp;" now","Up to date")))</f>
        <v>Send D now</v>
      </c>
      <c r="R11" s="22" t="s">
        <v>181</v>
      </c>
      <c r="S11" s="29" t="n">
        <f aca="false">IF(LEFT(Q11,4)="Send",1,0)</f>
        <v>1</v>
      </c>
      <c r="T11" s="29" t="n">
        <f aca="false">IF(S11=0,"",COUNTIFS($S$5:$S$204,1,$F$5:$F$204,"&lt;"&amp;F11)+COUNTIFS($S$5:$S11,1,$F$5:$F11,F11))</f>
        <v>2</v>
      </c>
    </row>
    <row r="12" customFormat="false" ht="15" hidden="false" customHeight="false" outlineLevel="0" collapsed="false">
      <c r="A12" s="22"/>
      <c r="B12" s="22"/>
      <c r="C12" s="22"/>
      <c r="D12" s="26"/>
      <c r="E12" s="22"/>
      <c r="F12" s="28" t="str">
        <f aca="false">IF(D12="","",D12+IF(E12="",Settings!$C$7,E12))</f>
        <v/>
      </c>
      <c r="G12" s="23"/>
      <c r="H12" s="23"/>
      <c r="I12" s="26"/>
      <c r="J12" s="25" t="str">
        <f aca="false">IF(G12="","",G12-N(H12))</f>
        <v/>
      </c>
      <c r="K12" s="21" t="str">
        <f aca="false">IF(OR(G12="",F12=""),"",IF(J12&lt;=0,"Paid",IF(Settings!$C$6&lt;F12,IF(N(H12)&gt;0,"Part-paid","Not due"),IF(Settings!$C$6=F12,"Due today","Overdue"))))</f>
        <v/>
      </c>
      <c r="L12" s="27" t="str">
        <f aca="false">IF(OR(G12="",F12=""),"",IF(J12&lt;=0,"",MAX(0,Settings!$C$6-F12)))</f>
        <v/>
      </c>
      <c r="M12" s="31" t="str">
        <f aca="false">IF(OR(G12="",F12=""),"",IF(J12&lt;=0,"Paid",IF(Settings!$C$6&gt;=F12+Settings!$P$18,"E",IF(Settings!$C$6&gt;=F12+Settings!$P$17,"D",IF(Settings!$C$6&gt;=F12+Settings!$P$16,"C",IF(Settings!$C$6&gt;=F12+Settings!$P$15,"B",IF(Settings!$C$6&gt;=F12+Settings!$P$14,"A","—")))))))</f>
        <v/>
      </c>
      <c r="N12" s="28" t="str">
        <f aca="false">IF(OR(G12="",F12="",J12&lt;=0),"",IF(Settings!$C$6&lt;F12+Settings!$P$14,F12+Settings!$P$14,IF(Settings!$C$6&lt;F12+Settings!$P$15,F12+Settings!$P$15,IF(Settings!$C$6&lt;F12+Settings!$P$16,F12+Settings!$P$16,IF(Settings!$C$6&lt;F12+Settings!$P$17,F12+Settings!$P$17,IF(Settings!$C$6&lt;F12+Settings!$P$18,F12+Settings!$P$18,""))))))</f>
        <v/>
      </c>
      <c r="O12" s="22"/>
      <c r="P12" s="26"/>
      <c r="Q12" s="21" t="str">
        <f aca="false">IF(OR(M12="",M12="Paid",M12="—"),IF(M12="Paid","Paid ✓",""),IF(O12="","Send "&amp;M12&amp;" now",IF(CODE(M12)&gt;CODE(O12),"Send "&amp;M12&amp;" now","Up to date")))</f>
        <v/>
      </c>
      <c r="R12" s="22"/>
      <c r="S12" s="29" t="n">
        <f aca="false">IF(LEFT(Q12,4)="Send",1,0)</f>
        <v>0</v>
      </c>
      <c r="T12" s="29" t="str">
        <f aca="false">IF(S12=0,"",COUNTIFS($S$5:$S$204,1,$F$5:$F$204,"&lt;"&amp;F12)+COUNTIFS($S$5:$S12,1,$F$5:$F12,F12))</f>
        <v/>
      </c>
    </row>
    <row r="13" customFormat="false" ht="15" hidden="false" customHeight="false" outlineLevel="0" collapsed="false">
      <c r="A13" s="22"/>
      <c r="B13" s="22"/>
      <c r="C13" s="22"/>
      <c r="D13" s="26"/>
      <c r="E13" s="22"/>
      <c r="F13" s="28" t="str">
        <f aca="false">IF(D13="","",D13+IF(E13="",Settings!$C$7,E13))</f>
        <v/>
      </c>
      <c r="G13" s="23"/>
      <c r="H13" s="23"/>
      <c r="I13" s="26"/>
      <c r="J13" s="25" t="str">
        <f aca="false">IF(G13="","",G13-N(H13))</f>
        <v/>
      </c>
      <c r="K13" s="21" t="str">
        <f aca="false">IF(OR(G13="",F13=""),"",IF(J13&lt;=0,"Paid",IF(Settings!$C$6&lt;F13,IF(N(H13)&gt;0,"Part-paid","Not due"),IF(Settings!$C$6=F13,"Due today","Overdue"))))</f>
        <v/>
      </c>
      <c r="L13" s="27" t="str">
        <f aca="false">IF(OR(G13="",F13=""),"",IF(J13&lt;=0,"",MAX(0,Settings!$C$6-F13)))</f>
        <v/>
      </c>
      <c r="M13" s="31" t="str">
        <f aca="false">IF(OR(G13="",F13=""),"",IF(J13&lt;=0,"Paid",IF(Settings!$C$6&gt;=F13+Settings!$P$18,"E",IF(Settings!$C$6&gt;=F13+Settings!$P$17,"D",IF(Settings!$C$6&gt;=F13+Settings!$P$16,"C",IF(Settings!$C$6&gt;=F13+Settings!$P$15,"B",IF(Settings!$C$6&gt;=F13+Settings!$P$14,"A","—")))))))</f>
        <v/>
      </c>
      <c r="N13" s="28" t="str">
        <f aca="false">IF(OR(G13="",F13="",J13&lt;=0),"",IF(Settings!$C$6&lt;F13+Settings!$P$14,F13+Settings!$P$14,IF(Settings!$C$6&lt;F13+Settings!$P$15,F13+Settings!$P$15,IF(Settings!$C$6&lt;F13+Settings!$P$16,F13+Settings!$P$16,IF(Settings!$C$6&lt;F13+Settings!$P$17,F13+Settings!$P$17,IF(Settings!$C$6&lt;F13+Settings!$P$18,F13+Settings!$P$18,""))))))</f>
        <v/>
      </c>
      <c r="O13" s="22"/>
      <c r="P13" s="26"/>
      <c r="Q13" s="21" t="str">
        <f aca="false">IF(OR(M13="",M13="Paid",M13="—"),IF(M13="Paid","Paid ✓",""),IF(O13="","Send "&amp;M13&amp;" now",IF(CODE(M13)&gt;CODE(O13),"Send "&amp;M13&amp;" now","Up to date")))</f>
        <v/>
      </c>
      <c r="R13" s="22"/>
      <c r="S13" s="29" t="n">
        <f aca="false">IF(LEFT(Q13,4)="Send",1,0)</f>
        <v>0</v>
      </c>
      <c r="T13" s="29" t="str">
        <f aca="false">IF(S13=0,"",COUNTIFS($S$5:$S$204,1,$F$5:$F$204,"&lt;"&amp;F13)+COUNTIFS($S$5:$S13,1,$F$5:$F13,F13))</f>
        <v/>
      </c>
    </row>
    <row r="14" customFormat="false" ht="15" hidden="false" customHeight="false" outlineLevel="0" collapsed="false">
      <c r="A14" s="22"/>
      <c r="B14" s="22"/>
      <c r="C14" s="22"/>
      <c r="D14" s="26"/>
      <c r="E14" s="22"/>
      <c r="F14" s="28" t="str">
        <f aca="false">IF(D14="","",D14+IF(E14="",Settings!$C$7,E14))</f>
        <v/>
      </c>
      <c r="G14" s="23"/>
      <c r="H14" s="23"/>
      <c r="I14" s="26"/>
      <c r="J14" s="25" t="str">
        <f aca="false">IF(G14="","",G14-N(H14))</f>
        <v/>
      </c>
      <c r="K14" s="21" t="str">
        <f aca="false">IF(OR(G14="",F14=""),"",IF(J14&lt;=0,"Paid",IF(Settings!$C$6&lt;F14,IF(N(H14)&gt;0,"Part-paid","Not due"),IF(Settings!$C$6=F14,"Due today","Overdue"))))</f>
        <v/>
      </c>
      <c r="L14" s="27" t="str">
        <f aca="false">IF(OR(G14="",F14=""),"",IF(J14&lt;=0,"",MAX(0,Settings!$C$6-F14)))</f>
        <v/>
      </c>
      <c r="M14" s="31" t="str">
        <f aca="false">IF(OR(G14="",F14=""),"",IF(J14&lt;=0,"Paid",IF(Settings!$C$6&gt;=F14+Settings!$P$18,"E",IF(Settings!$C$6&gt;=F14+Settings!$P$17,"D",IF(Settings!$C$6&gt;=F14+Settings!$P$16,"C",IF(Settings!$C$6&gt;=F14+Settings!$P$15,"B",IF(Settings!$C$6&gt;=F14+Settings!$P$14,"A","—")))))))</f>
        <v/>
      </c>
      <c r="N14" s="28" t="str">
        <f aca="false">IF(OR(G14="",F14="",J14&lt;=0),"",IF(Settings!$C$6&lt;F14+Settings!$P$14,F14+Settings!$P$14,IF(Settings!$C$6&lt;F14+Settings!$P$15,F14+Settings!$P$15,IF(Settings!$C$6&lt;F14+Settings!$P$16,F14+Settings!$P$16,IF(Settings!$C$6&lt;F14+Settings!$P$17,F14+Settings!$P$17,IF(Settings!$C$6&lt;F14+Settings!$P$18,F14+Settings!$P$18,""))))))</f>
        <v/>
      </c>
      <c r="O14" s="22"/>
      <c r="P14" s="26"/>
      <c r="Q14" s="21" t="str">
        <f aca="false">IF(OR(M14="",M14="Paid",M14="—"),IF(M14="Paid","Paid ✓",""),IF(O14="","Send "&amp;M14&amp;" now",IF(CODE(M14)&gt;CODE(O14),"Send "&amp;M14&amp;" now","Up to date")))</f>
        <v/>
      </c>
      <c r="R14" s="22"/>
      <c r="S14" s="29" t="n">
        <f aca="false">IF(LEFT(Q14,4)="Send",1,0)</f>
        <v>0</v>
      </c>
      <c r="T14" s="29" t="str">
        <f aca="false">IF(S14=0,"",COUNTIFS($S$5:$S$204,1,$F$5:$F$204,"&lt;"&amp;F14)+COUNTIFS($S$5:$S14,1,$F$5:$F14,F14))</f>
        <v/>
      </c>
    </row>
    <row r="15" customFormat="false" ht="15" hidden="false" customHeight="false" outlineLevel="0" collapsed="false">
      <c r="A15" s="22"/>
      <c r="B15" s="22"/>
      <c r="C15" s="22"/>
      <c r="D15" s="26"/>
      <c r="E15" s="22"/>
      <c r="F15" s="28" t="str">
        <f aca="false">IF(D15="","",D15+IF(E15="",Settings!$C$7,E15))</f>
        <v/>
      </c>
      <c r="G15" s="23"/>
      <c r="H15" s="23"/>
      <c r="I15" s="26"/>
      <c r="J15" s="25" t="str">
        <f aca="false">IF(G15="","",G15-N(H15))</f>
        <v/>
      </c>
      <c r="K15" s="21" t="str">
        <f aca="false">IF(OR(G15="",F15=""),"",IF(J15&lt;=0,"Paid",IF(Settings!$C$6&lt;F15,IF(N(H15)&gt;0,"Part-paid","Not due"),IF(Settings!$C$6=F15,"Due today","Overdue"))))</f>
        <v/>
      </c>
      <c r="L15" s="27" t="str">
        <f aca="false">IF(OR(G15="",F15=""),"",IF(J15&lt;=0,"",MAX(0,Settings!$C$6-F15)))</f>
        <v/>
      </c>
      <c r="M15" s="31" t="str">
        <f aca="false">IF(OR(G15="",F15=""),"",IF(J15&lt;=0,"Paid",IF(Settings!$C$6&gt;=F15+Settings!$P$18,"E",IF(Settings!$C$6&gt;=F15+Settings!$P$17,"D",IF(Settings!$C$6&gt;=F15+Settings!$P$16,"C",IF(Settings!$C$6&gt;=F15+Settings!$P$15,"B",IF(Settings!$C$6&gt;=F15+Settings!$P$14,"A","—")))))))</f>
        <v/>
      </c>
      <c r="N15" s="28" t="str">
        <f aca="false">IF(OR(G15="",F15="",J15&lt;=0),"",IF(Settings!$C$6&lt;F15+Settings!$P$14,F15+Settings!$P$14,IF(Settings!$C$6&lt;F15+Settings!$P$15,F15+Settings!$P$15,IF(Settings!$C$6&lt;F15+Settings!$P$16,F15+Settings!$P$16,IF(Settings!$C$6&lt;F15+Settings!$P$17,F15+Settings!$P$17,IF(Settings!$C$6&lt;F15+Settings!$P$18,F15+Settings!$P$18,""))))))</f>
        <v/>
      </c>
      <c r="O15" s="22"/>
      <c r="P15" s="26"/>
      <c r="Q15" s="21" t="str">
        <f aca="false">IF(OR(M15="",M15="Paid",M15="—"),IF(M15="Paid","Paid ✓",""),IF(O15="","Send "&amp;M15&amp;" now",IF(CODE(M15)&gt;CODE(O15),"Send "&amp;M15&amp;" now","Up to date")))</f>
        <v/>
      </c>
      <c r="R15" s="22"/>
      <c r="S15" s="29" t="n">
        <f aca="false">IF(LEFT(Q15,4)="Send",1,0)</f>
        <v>0</v>
      </c>
      <c r="T15" s="29" t="str">
        <f aca="false">IF(S15=0,"",COUNTIFS($S$5:$S$204,1,$F$5:$F$204,"&lt;"&amp;F15)+COUNTIFS($S$5:$S15,1,$F$5:$F15,F15))</f>
        <v/>
      </c>
    </row>
    <row r="16" customFormat="false" ht="15" hidden="false" customHeight="false" outlineLevel="0" collapsed="false">
      <c r="A16" s="22"/>
      <c r="B16" s="22"/>
      <c r="C16" s="22"/>
      <c r="D16" s="26"/>
      <c r="E16" s="22"/>
      <c r="F16" s="28" t="str">
        <f aca="false">IF(D16="","",D16+IF(E16="",Settings!$C$7,E16))</f>
        <v/>
      </c>
      <c r="G16" s="23"/>
      <c r="H16" s="23"/>
      <c r="I16" s="26"/>
      <c r="J16" s="25" t="str">
        <f aca="false">IF(G16="","",G16-N(H16))</f>
        <v/>
      </c>
      <c r="K16" s="21" t="str">
        <f aca="false">IF(OR(G16="",F16=""),"",IF(J16&lt;=0,"Paid",IF(Settings!$C$6&lt;F16,IF(N(H16)&gt;0,"Part-paid","Not due"),IF(Settings!$C$6=F16,"Due today","Overdue"))))</f>
        <v/>
      </c>
      <c r="L16" s="27" t="str">
        <f aca="false">IF(OR(G16="",F16=""),"",IF(J16&lt;=0,"",MAX(0,Settings!$C$6-F16)))</f>
        <v/>
      </c>
      <c r="M16" s="31" t="str">
        <f aca="false">IF(OR(G16="",F16=""),"",IF(J16&lt;=0,"Paid",IF(Settings!$C$6&gt;=F16+Settings!$P$18,"E",IF(Settings!$C$6&gt;=F16+Settings!$P$17,"D",IF(Settings!$C$6&gt;=F16+Settings!$P$16,"C",IF(Settings!$C$6&gt;=F16+Settings!$P$15,"B",IF(Settings!$C$6&gt;=F16+Settings!$P$14,"A","—")))))))</f>
        <v/>
      </c>
      <c r="N16" s="28" t="str">
        <f aca="false">IF(OR(G16="",F16="",J16&lt;=0),"",IF(Settings!$C$6&lt;F16+Settings!$P$14,F16+Settings!$P$14,IF(Settings!$C$6&lt;F16+Settings!$P$15,F16+Settings!$P$15,IF(Settings!$C$6&lt;F16+Settings!$P$16,F16+Settings!$P$16,IF(Settings!$C$6&lt;F16+Settings!$P$17,F16+Settings!$P$17,IF(Settings!$C$6&lt;F16+Settings!$P$18,F16+Settings!$P$18,""))))))</f>
        <v/>
      </c>
      <c r="O16" s="22"/>
      <c r="P16" s="26"/>
      <c r="Q16" s="21" t="str">
        <f aca="false">IF(OR(M16="",M16="Paid",M16="—"),IF(M16="Paid","Paid ✓",""),IF(O16="","Send "&amp;M16&amp;" now",IF(CODE(M16)&gt;CODE(O16),"Send "&amp;M16&amp;" now","Up to date")))</f>
        <v/>
      </c>
      <c r="R16" s="22"/>
      <c r="S16" s="29" t="n">
        <f aca="false">IF(LEFT(Q16,4)="Send",1,0)</f>
        <v>0</v>
      </c>
      <c r="T16" s="29" t="str">
        <f aca="false">IF(S16=0,"",COUNTIFS($S$5:$S$204,1,$F$5:$F$204,"&lt;"&amp;F16)+COUNTIFS($S$5:$S16,1,$F$5:$F16,F16))</f>
        <v/>
      </c>
    </row>
    <row r="17" customFormat="false" ht="15" hidden="false" customHeight="false" outlineLevel="0" collapsed="false">
      <c r="A17" s="22"/>
      <c r="B17" s="22"/>
      <c r="C17" s="22"/>
      <c r="D17" s="26"/>
      <c r="E17" s="22"/>
      <c r="F17" s="28" t="str">
        <f aca="false">IF(D17="","",D17+IF(E17="",Settings!$C$7,E17))</f>
        <v/>
      </c>
      <c r="G17" s="23"/>
      <c r="H17" s="23"/>
      <c r="I17" s="26"/>
      <c r="J17" s="25" t="str">
        <f aca="false">IF(G17="","",G17-N(H17))</f>
        <v/>
      </c>
      <c r="K17" s="21" t="str">
        <f aca="false">IF(OR(G17="",F17=""),"",IF(J17&lt;=0,"Paid",IF(Settings!$C$6&lt;F17,IF(N(H17)&gt;0,"Part-paid","Not due"),IF(Settings!$C$6=F17,"Due today","Overdue"))))</f>
        <v/>
      </c>
      <c r="L17" s="27" t="str">
        <f aca="false">IF(OR(G17="",F17=""),"",IF(J17&lt;=0,"",MAX(0,Settings!$C$6-F17)))</f>
        <v/>
      </c>
      <c r="M17" s="31" t="str">
        <f aca="false">IF(OR(G17="",F17=""),"",IF(J17&lt;=0,"Paid",IF(Settings!$C$6&gt;=F17+Settings!$P$18,"E",IF(Settings!$C$6&gt;=F17+Settings!$P$17,"D",IF(Settings!$C$6&gt;=F17+Settings!$P$16,"C",IF(Settings!$C$6&gt;=F17+Settings!$P$15,"B",IF(Settings!$C$6&gt;=F17+Settings!$P$14,"A","—")))))))</f>
        <v/>
      </c>
      <c r="N17" s="28" t="str">
        <f aca="false">IF(OR(G17="",F17="",J17&lt;=0),"",IF(Settings!$C$6&lt;F17+Settings!$P$14,F17+Settings!$P$14,IF(Settings!$C$6&lt;F17+Settings!$P$15,F17+Settings!$P$15,IF(Settings!$C$6&lt;F17+Settings!$P$16,F17+Settings!$P$16,IF(Settings!$C$6&lt;F17+Settings!$P$17,F17+Settings!$P$17,IF(Settings!$C$6&lt;F17+Settings!$P$18,F17+Settings!$P$18,""))))))</f>
        <v/>
      </c>
      <c r="O17" s="22"/>
      <c r="P17" s="26"/>
      <c r="Q17" s="21" t="str">
        <f aca="false">IF(OR(M17="",M17="Paid",M17="—"),IF(M17="Paid","Paid ✓",""),IF(O17="","Send "&amp;M17&amp;" now",IF(CODE(M17)&gt;CODE(O17),"Send "&amp;M17&amp;" now","Up to date")))</f>
        <v/>
      </c>
      <c r="R17" s="22"/>
      <c r="S17" s="29" t="n">
        <f aca="false">IF(LEFT(Q17,4)="Send",1,0)</f>
        <v>0</v>
      </c>
      <c r="T17" s="29" t="str">
        <f aca="false">IF(S17=0,"",COUNTIFS($S$5:$S$204,1,$F$5:$F$204,"&lt;"&amp;F17)+COUNTIFS($S$5:$S17,1,$F$5:$F17,F17))</f>
        <v/>
      </c>
    </row>
    <row r="18" customFormat="false" ht="15" hidden="false" customHeight="false" outlineLevel="0" collapsed="false">
      <c r="A18" s="22"/>
      <c r="B18" s="22"/>
      <c r="C18" s="22"/>
      <c r="D18" s="26"/>
      <c r="E18" s="22"/>
      <c r="F18" s="28" t="str">
        <f aca="false">IF(D18="","",D18+IF(E18="",Settings!$C$7,E18))</f>
        <v/>
      </c>
      <c r="G18" s="23"/>
      <c r="H18" s="23"/>
      <c r="I18" s="26"/>
      <c r="J18" s="25" t="str">
        <f aca="false">IF(G18="","",G18-N(H18))</f>
        <v/>
      </c>
      <c r="K18" s="21" t="str">
        <f aca="false">IF(OR(G18="",F18=""),"",IF(J18&lt;=0,"Paid",IF(Settings!$C$6&lt;F18,IF(N(H18)&gt;0,"Part-paid","Not due"),IF(Settings!$C$6=F18,"Due today","Overdue"))))</f>
        <v/>
      </c>
      <c r="L18" s="27" t="str">
        <f aca="false">IF(OR(G18="",F18=""),"",IF(J18&lt;=0,"",MAX(0,Settings!$C$6-F18)))</f>
        <v/>
      </c>
      <c r="M18" s="31" t="str">
        <f aca="false">IF(OR(G18="",F18=""),"",IF(J18&lt;=0,"Paid",IF(Settings!$C$6&gt;=F18+Settings!$P$18,"E",IF(Settings!$C$6&gt;=F18+Settings!$P$17,"D",IF(Settings!$C$6&gt;=F18+Settings!$P$16,"C",IF(Settings!$C$6&gt;=F18+Settings!$P$15,"B",IF(Settings!$C$6&gt;=F18+Settings!$P$14,"A","—")))))))</f>
        <v/>
      </c>
      <c r="N18" s="28" t="str">
        <f aca="false">IF(OR(G18="",F18="",J18&lt;=0),"",IF(Settings!$C$6&lt;F18+Settings!$P$14,F18+Settings!$P$14,IF(Settings!$C$6&lt;F18+Settings!$P$15,F18+Settings!$P$15,IF(Settings!$C$6&lt;F18+Settings!$P$16,F18+Settings!$P$16,IF(Settings!$C$6&lt;F18+Settings!$P$17,F18+Settings!$P$17,IF(Settings!$C$6&lt;F18+Settings!$P$18,F18+Settings!$P$18,""))))))</f>
        <v/>
      </c>
      <c r="O18" s="22"/>
      <c r="P18" s="26"/>
      <c r="Q18" s="21" t="str">
        <f aca="false">IF(OR(M18="",M18="Paid",M18="—"),IF(M18="Paid","Paid ✓",""),IF(O18="","Send "&amp;M18&amp;" now",IF(CODE(M18)&gt;CODE(O18),"Send "&amp;M18&amp;" now","Up to date")))</f>
        <v/>
      </c>
      <c r="R18" s="22"/>
      <c r="S18" s="29" t="n">
        <f aca="false">IF(LEFT(Q18,4)="Send",1,0)</f>
        <v>0</v>
      </c>
      <c r="T18" s="29" t="str">
        <f aca="false">IF(S18=0,"",COUNTIFS($S$5:$S$204,1,$F$5:$F$204,"&lt;"&amp;F18)+COUNTIFS($S$5:$S18,1,$F$5:$F18,F18))</f>
        <v/>
      </c>
    </row>
    <row r="19" customFormat="false" ht="15" hidden="false" customHeight="false" outlineLevel="0" collapsed="false">
      <c r="A19" s="22"/>
      <c r="B19" s="22"/>
      <c r="C19" s="22"/>
      <c r="D19" s="26"/>
      <c r="E19" s="22"/>
      <c r="F19" s="28" t="str">
        <f aca="false">IF(D19="","",D19+IF(E19="",Settings!$C$7,E19))</f>
        <v/>
      </c>
      <c r="G19" s="23"/>
      <c r="H19" s="23"/>
      <c r="I19" s="26"/>
      <c r="J19" s="25" t="str">
        <f aca="false">IF(G19="","",G19-N(H19))</f>
        <v/>
      </c>
      <c r="K19" s="21" t="str">
        <f aca="false">IF(OR(G19="",F19=""),"",IF(J19&lt;=0,"Paid",IF(Settings!$C$6&lt;F19,IF(N(H19)&gt;0,"Part-paid","Not due"),IF(Settings!$C$6=F19,"Due today","Overdue"))))</f>
        <v/>
      </c>
      <c r="L19" s="27" t="str">
        <f aca="false">IF(OR(G19="",F19=""),"",IF(J19&lt;=0,"",MAX(0,Settings!$C$6-F19)))</f>
        <v/>
      </c>
      <c r="M19" s="31" t="str">
        <f aca="false">IF(OR(G19="",F19=""),"",IF(J19&lt;=0,"Paid",IF(Settings!$C$6&gt;=F19+Settings!$P$18,"E",IF(Settings!$C$6&gt;=F19+Settings!$P$17,"D",IF(Settings!$C$6&gt;=F19+Settings!$P$16,"C",IF(Settings!$C$6&gt;=F19+Settings!$P$15,"B",IF(Settings!$C$6&gt;=F19+Settings!$P$14,"A","—")))))))</f>
        <v/>
      </c>
      <c r="N19" s="28" t="str">
        <f aca="false">IF(OR(G19="",F19="",J19&lt;=0),"",IF(Settings!$C$6&lt;F19+Settings!$P$14,F19+Settings!$P$14,IF(Settings!$C$6&lt;F19+Settings!$P$15,F19+Settings!$P$15,IF(Settings!$C$6&lt;F19+Settings!$P$16,F19+Settings!$P$16,IF(Settings!$C$6&lt;F19+Settings!$P$17,F19+Settings!$P$17,IF(Settings!$C$6&lt;F19+Settings!$P$18,F19+Settings!$P$18,""))))))</f>
        <v/>
      </c>
      <c r="O19" s="22"/>
      <c r="P19" s="26"/>
      <c r="Q19" s="21" t="str">
        <f aca="false">IF(OR(M19="",M19="Paid",M19="—"),IF(M19="Paid","Paid ✓",""),IF(O19="","Send "&amp;M19&amp;" now",IF(CODE(M19)&gt;CODE(O19),"Send "&amp;M19&amp;" now","Up to date")))</f>
        <v/>
      </c>
      <c r="R19" s="22"/>
      <c r="S19" s="29" t="n">
        <f aca="false">IF(LEFT(Q19,4)="Send",1,0)</f>
        <v>0</v>
      </c>
      <c r="T19" s="29" t="str">
        <f aca="false">IF(S19=0,"",COUNTIFS($S$5:$S$204,1,$F$5:$F$204,"&lt;"&amp;F19)+COUNTIFS($S$5:$S19,1,$F$5:$F19,F19))</f>
        <v/>
      </c>
    </row>
    <row r="20" customFormat="false" ht="15" hidden="false" customHeight="false" outlineLevel="0" collapsed="false">
      <c r="A20" s="22"/>
      <c r="B20" s="22"/>
      <c r="C20" s="22"/>
      <c r="D20" s="26"/>
      <c r="E20" s="22"/>
      <c r="F20" s="28" t="str">
        <f aca="false">IF(D20="","",D20+IF(E20="",Settings!$C$7,E20))</f>
        <v/>
      </c>
      <c r="G20" s="23"/>
      <c r="H20" s="23"/>
      <c r="I20" s="26"/>
      <c r="J20" s="25" t="str">
        <f aca="false">IF(G20="","",G20-N(H20))</f>
        <v/>
      </c>
      <c r="K20" s="21" t="str">
        <f aca="false">IF(OR(G20="",F20=""),"",IF(J20&lt;=0,"Paid",IF(Settings!$C$6&lt;F20,IF(N(H20)&gt;0,"Part-paid","Not due"),IF(Settings!$C$6=F20,"Due today","Overdue"))))</f>
        <v/>
      </c>
      <c r="L20" s="27" t="str">
        <f aca="false">IF(OR(G20="",F20=""),"",IF(J20&lt;=0,"",MAX(0,Settings!$C$6-F20)))</f>
        <v/>
      </c>
      <c r="M20" s="31" t="str">
        <f aca="false">IF(OR(G20="",F20=""),"",IF(J20&lt;=0,"Paid",IF(Settings!$C$6&gt;=F20+Settings!$P$18,"E",IF(Settings!$C$6&gt;=F20+Settings!$P$17,"D",IF(Settings!$C$6&gt;=F20+Settings!$P$16,"C",IF(Settings!$C$6&gt;=F20+Settings!$P$15,"B",IF(Settings!$C$6&gt;=F20+Settings!$P$14,"A","—")))))))</f>
        <v/>
      </c>
      <c r="N20" s="28" t="str">
        <f aca="false">IF(OR(G20="",F20="",J20&lt;=0),"",IF(Settings!$C$6&lt;F20+Settings!$P$14,F20+Settings!$P$14,IF(Settings!$C$6&lt;F20+Settings!$P$15,F20+Settings!$P$15,IF(Settings!$C$6&lt;F20+Settings!$P$16,F20+Settings!$P$16,IF(Settings!$C$6&lt;F20+Settings!$P$17,F20+Settings!$P$17,IF(Settings!$C$6&lt;F20+Settings!$P$18,F20+Settings!$P$18,""))))))</f>
        <v/>
      </c>
      <c r="O20" s="22"/>
      <c r="P20" s="26"/>
      <c r="Q20" s="21" t="str">
        <f aca="false">IF(OR(M20="",M20="Paid",M20="—"),IF(M20="Paid","Paid ✓",""),IF(O20="","Send "&amp;M20&amp;" now",IF(CODE(M20)&gt;CODE(O20),"Send "&amp;M20&amp;" now","Up to date")))</f>
        <v/>
      </c>
      <c r="R20" s="22"/>
      <c r="S20" s="29" t="n">
        <f aca="false">IF(LEFT(Q20,4)="Send",1,0)</f>
        <v>0</v>
      </c>
      <c r="T20" s="29" t="str">
        <f aca="false">IF(S20=0,"",COUNTIFS($S$5:$S$204,1,$F$5:$F$204,"&lt;"&amp;F20)+COUNTIFS($S$5:$S20,1,$F$5:$F20,F20))</f>
        <v/>
      </c>
    </row>
    <row r="21" customFormat="false" ht="15" hidden="false" customHeight="false" outlineLevel="0" collapsed="false">
      <c r="A21" s="22"/>
      <c r="B21" s="22"/>
      <c r="C21" s="22"/>
      <c r="D21" s="26"/>
      <c r="E21" s="22"/>
      <c r="F21" s="28" t="str">
        <f aca="false">IF(D21="","",D21+IF(E21="",Settings!$C$7,E21))</f>
        <v/>
      </c>
      <c r="G21" s="23"/>
      <c r="H21" s="23"/>
      <c r="I21" s="26"/>
      <c r="J21" s="25" t="str">
        <f aca="false">IF(G21="","",G21-N(H21))</f>
        <v/>
      </c>
      <c r="K21" s="21" t="str">
        <f aca="false">IF(OR(G21="",F21=""),"",IF(J21&lt;=0,"Paid",IF(Settings!$C$6&lt;F21,IF(N(H21)&gt;0,"Part-paid","Not due"),IF(Settings!$C$6=F21,"Due today","Overdue"))))</f>
        <v/>
      </c>
      <c r="L21" s="27" t="str">
        <f aca="false">IF(OR(G21="",F21=""),"",IF(J21&lt;=0,"",MAX(0,Settings!$C$6-F21)))</f>
        <v/>
      </c>
      <c r="M21" s="31" t="str">
        <f aca="false">IF(OR(G21="",F21=""),"",IF(J21&lt;=0,"Paid",IF(Settings!$C$6&gt;=F21+Settings!$P$18,"E",IF(Settings!$C$6&gt;=F21+Settings!$P$17,"D",IF(Settings!$C$6&gt;=F21+Settings!$P$16,"C",IF(Settings!$C$6&gt;=F21+Settings!$P$15,"B",IF(Settings!$C$6&gt;=F21+Settings!$P$14,"A","—")))))))</f>
        <v/>
      </c>
      <c r="N21" s="28" t="str">
        <f aca="false">IF(OR(G21="",F21="",J21&lt;=0),"",IF(Settings!$C$6&lt;F21+Settings!$P$14,F21+Settings!$P$14,IF(Settings!$C$6&lt;F21+Settings!$P$15,F21+Settings!$P$15,IF(Settings!$C$6&lt;F21+Settings!$P$16,F21+Settings!$P$16,IF(Settings!$C$6&lt;F21+Settings!$P$17,F21+Settings!$P$17,IF(Settings!$C$6&lt;F21+Settings!$P$18,F21+Settings!$P$18,""))))))</f>
        <v/>
      </c>
      <c r="O21" s="22"/>
      <c r="P21" s="26"/>
      <c r="Q21" s="21" t="str">
        <f aca="false">IF(OR(M21="",M21="Paid",M21="—"),IF(M21="Paid","Paid ✓",""),IF(O21="","Send "&amp;M21&amp;" now",IF(CODE(M21)&gt;CODE(O21),"Send "&amp;M21&amp;" now","Up to date")))</f>
        <v/>
      </c>
      <c r="R21" s="22"/>
      <c r="S21" s="29" t="n">
        <f aca="false">IF(LEFT(Q21,4)="Send",1,0)</f>
        <v>0</v>
      </c>
      <c r="T21" s="29" t="str">
        <f aca="false">IF(S21=0,"",COUNTIFS($S$5:$S$204,1,$F$5:$F$204,"&lt;"&amp;F21)+COUNTIFS($S$5:$S21,1,$F$5:$F21,F21))</f>
        <v/>
      </c>
    </row>
    <row r="22" customFormat="false" ht="15" hidden="false" customHeight="false" outlineLevel="0" collapsed="false">
      <c r="A22" s="22"/>
      <c r="B22" s="22"/>
      <c r="C22" s="22"/>
      <c r="D22" s="26"/>
      <c r="E22" s="22"/>
      <c r="F22" s="28" t="str">
        <f aca="false">IF(D22="","",D22+IF(E22="",Settings!$C$7,E22))</f>
        <v/>
      </c>
      <c r="G22" s="23"/>
      <c r="H22" s="23"/>
      <c r="I22" s="26"/>
      <c r="J22" s="25" t="str">
        <f aca="false">IF(G22="","",G22-N(H22))</f>
        <v/>
      </c>
      <c r="K22" s="21" t="str">
        <f aca="false">IF(OR(G22="",F22=""),"",IF(J22&lt;=0,"Paid",IF(Settings!$C$6&lt;F22,IF(N(H22)&gt;0,"Part-paid","Not due"),IF(Settings!$C$6=F22,"Due today","Overdue"))))</f>
        <v/>
      </c>
      <c r="L22" s="27" t="str">
        <f aca="false">IF(OR(G22="",F22=""),"",IF(J22&lt;=0,"",MAX(0,Settings!$C$6-F22)))</f>
        <v/>
      </c>
      <c r="M22" s="31" t="str">
        <f aca="false">IF(OR(G22="",F22=""),"",IF(J22&lt;=0,"Paid",IF(Settings!$C$6&gt;=F22+Settings!$P$18,"E",IF(Settings!$C$6&gt;=F22+Settings!$P$17,"D",IF(Settings!$C$6&gt;=F22+Settings!$P$16,"C",IF(Settings!$C$6&gt;=F22+Settings!$P$15,"B",IF(Settings!$C$6&gt;=F22+Settings!$P$14,"A","—")))))))</f>
        <v/>
      </c>
      <c r="N22" s="28" t="str">
        <f aca="false">IF(OR(G22="",F22="",J22&lt;=0),"",IF(Settings!$C$6&lt;F22+Settings!$P$14,F22+Settings!$P$14,IF(Settings!$C$6&lt;F22+Settings!$P$15,F22+Settings!$P$15,IF(Settings!$C$6&lt;F22+Settings!$P$16,F22+Settings!$P$16,IF(Settings!$C$6&lt;F22+Settings!$P$17,F22+Settings!$P$17,IF(Settings!$C$6&lt;F22+Settings!$P$18,F22+Settings!$P$18,""))))))</f>
        <v/>
      </c>
      <c r="O22" s="22"/>
      <c r="P22" s="26"/>
      <c r="Q22" s="21" t="str">
        <f aca="false">IF(OR(M22="",M22="Paid",M22="—"),IF(M22="Paid","Paid ✓",""),IF(O22="","Send "&amp;M22&amp;" now",IF(CODE(M22)&gt;CODE(O22),"Send "&amp;M22&amp;" now","Up to date")))</f>
        <v/>
      </c>
      <c r="R22" s="22"/>
      <c r="S22" s="29" t="n">
        <f aca="false">IF(LEFT(Q22,4)="Send",1,0)</f>
        <v>0</v>
      </c>
      <c r="T22" s="29" t="str">
        <f aca="false">IF(S22=0,"",COUNTIFS($S$5:$S$204,1,$F$5:$F$204,"&lt;"&amp;F22)+COUNTIFS($S$5:$S22,1,$F$5:$F22,F22))</f>
        <v/>
      </c>
    </row>
    <row r="23" customFormat="false" ht="15" hidden="false" customHeight="false" outlineLevel="0" collapsed="false">
      <c r="A23" s="22"/>
      <c r="B23" s="22"/>
      <c r="C23" s="22"/>
      <c r="D23" s="26"/>
      <c r="E23" s="22"/>
      <c r="F23" s="28" t="str">
        <f aca="false">IF(D23="","",D23+IF(E23="",Settings!$C$7,E23))</f>
        <v/>
      </c>
      <c r="G23" s="23"/>
      <c r="H23" s="23"/>
      <c r="I23" s="26"/>
      <c r="J23" s="25" t="str">
        <f aca="false">IF(G23="","",G23-N(H23))</f>
        <v/>
      </c>
      <c r="K23" s="21" t="str">
        <f aca="false">IF(OR(G23="",F23=""),"",IF(J23&lt;=0,"Paid",IF(Settings!$C$6&lt;F23,IF(N(H23)&gt;0,"Part-paid","Not due"),IF(Settings!$C$6=F23,"Due today","Overdue"))))</f>
        <v/>
      </c>
      <c r="L23" s="27" t="str">
        <f aca="false">IF(OR(G23="",F23=""),"",IF(J23&lt;=0,"",MAX(0,Settings!$C$6-F23)))</f>
        <v/>
      </c>
      <c r="M23" s="31" t="str">
        <f aca="false">IF(OR(G23="",F23=""),"",IF(J23&lt;=0,"Paid",IF(Settings!$C$6&gt;=F23+Settings!$P$18,"E",IF(Settings!$C$6&gt;=F23+Settings!$P$17,"D",IF(Settings!$C$6&gt;=F23+Settings!$P$16,"C",IF(Settings!$C$6&gt;=F23+Settings!$P$15,"B",IF(Settings!$C$6&gt;=F23+Settings!$P$14,"A","—")))))))</f>
        <v/>
      </c>
      <c r="N23" s="28" t="str">
        <f aca="false">IF(OR(G23="",F23="",J23&lt;=0),"",IF(Settings!$C$6&lt;F23+Settings!$P$14,F23+Settings!$P$14,IF(Settings!$C$6&lt;F23+Settings!$P$15,F23+Settings!$P$15,IF(Settings!$C$6&lt;F23+Settings!$P$16,F23+Settings!$P$16,IF(Settings!$C$6&lt;F23+Settings!$P$17,F23+Settings!$P$17,IF(Settings!$C$6&lt;F23+Settings!$P$18,F23+Settings!$P$18,""))))))</f>
        <v/>
      </c>
      <c r="O23" s="22"/>
      <c r="P23" s="26"/>
      <c r="Q23" s="21" t="str">
        <f aca="false">IF(OR(M23="",M23="Paid",M23="—"),IF(M23="Paid","Paid ✓",""),IF(O23="","Send "&amp;M23&amp;" now",IF(CODE(M23)&gt;CODE(O23),"Send "&amp;M23&amp;" now","Up to date")))</f>
        <v/>
      </c>
      <c r="R23" s="22"/>
      <c r="S23" s="29" t="n">
        <f aca="false">IF(LEFT(Q23,4)="Send",1,0)</f>
        <v>0</v>
      </c>
      <c r="T23" s="29" t="str">
        <f aca="false">IF(S23=0,"",COUNTIFS($S$5:$S$204,1,$F$5:$F$204,"&lt;"&amp;F23)+COUNTIFS($S$5:$S23,1,$F$5:$F23,F23))</f>
        <v/>
      </c>
    </row>
    <row r="24" customFormat="false" ht="15" hidden="false" customHeight="false" outlineLevel="0" collapsed="false">
      <c r="A24" s="22"/>
      <c r="B24" s="22"/>
      <c r="C24" s="22"/>
      <c r="D24" s="26"/>
      <c r="E24" s="22"/>
      <c r="F24" s="28" t="str">
        <f aca="false">IF(D24="","",D24+IF(E24="",Settings!$C$7,E24))</f>
        <v/>
      </c>
      <c r="G24" s="23"/>
      <c r="H24" s="23"/>
      <c r="I24" s="26"/>
      <c r="J24" s="25" t="str">
        <f aca="false">IF(G24="","",G24-N(H24))</f>
        <v/>
      </c>
      <c r="K24" s="21" t="str">
        <f aca="false">IF(OR(G24="",F24=""),"",IF(J24&lt;=0,"Paid",IF(Settings!$C$6&lt;F24,IF(N(H24)&gt;0,"Part-paid","Not due"),IF(Settings!$C$6=F24,"Due today","Overdue"))))</f>
        <v/>
      </c>
      <c r="L24" s="27" t="str">
        <f aca="false">IF(OR(G24="",F24=""),"",IF(J24&lt;=0,"",MAX(0,Settings!$C$6-F24)))</f>
        <v/>
      </c>
      <c r="M24" s="31" t="str">
        <f aca="false">IF(OR(G24="",F24=""),"",IF(J24&lt;=0,"Paid",IF(Settings!$C$6&gt;=F24+Settings!$P$18,"E",IF(Settings!$C$6&gt;=F24+Settings!$P$17,"D",IF(Settings!$C$6&gt;=F24+Settings!$P$16,"C",IF(Settings!$C$6&gt;=F24+Settings!$P$15,"B",IF(Settings!$C$6&gt;=F24+Settings!$P$14,"A","—")))))))</f>
        <v/>
      </c>
      <c r="N24" s="28" t="str">
        <f aca="false">IF(OR(G24="",F24="",J24&lt;=0),"",IF(Settings!$C$6&lt;F24+Settings!$P$14,F24+Settings!$P$14,IF(Settings!$C$6&lt;F24+Settings!$P$15,F24+Settings!$P$15,IF(Settings!$C$6&lt;F24+Settings!$P$16,F24+Settings!$P$16,IF(Settings!$C$6&lt;F24+Settings!$P$17,F24+Settings!$P$17,IF(Settings!$C$6&lt;F24+Settings!$P$18,F24+Settings!$P$18,""))))))</f>
        <v/>
      </c>
      <c r="O24" s="22"/>
      <c r="P24" s="26"/>
      <c r="Q24" s="21" t="str">
        <f aca="false">IF(OR(M24="",M24="Paid",M24="—"),IF(M24="Paid","Paid ✓",""),IF(O24="","Send "&amp;M24&amp;" now",IF(CODE(M24)&gt;CODE(O24),"Send "&amp;M24&amp;" now","Up to date")))</f>
        <v/>
      </c>
      <c r="R24" s="22"/>
      <c r="S24" s="29" t="n">
        <f aca="false">IF(LEFT(Q24,4)="Send",1,0)</f>
        <v>0</v>
      </c>
      <c r="T24" s="29" t="str">
        <f aca="false">IF(S24=0,"",COUNTIFS($S$5:$S$204,1,$F$5:$F$204,"&lt;"&amp;F24)+COUNTIFS($S$5:$S24,1,$F$5:$F24,F24))</f>
        <v/>
      </c>
    </row>
    <row r="25" customFormat="false" ht="15" hidden="false" customHeight="false" outlineLevel="0" collapsed="false">
      <c r="A25" s="22"/>
      <c r="B25" s="22"/>
      <c r="C25" s="22"/>
      <c r="D25" s="26"/>
      <c r="E25" s="22"/>
      <c r="F25" s="28" t="str">
        <f aca="false">IF(D25="","",D25+IF(E25="",Settings!$C$7,E25))</f>
        <v/>
      </c>
      <c r="G25" s="23"/>
      <c r="H25" s="23"/>
      <c r="I25" s="26"/>
      <c r="J25" s="25" t="str">
        <f aca="false">IF(G25="","",G25-N(H25))</f>
        <v/>
      </c>
      <c r="K25" s="21" t="str">
        <f aca="false">IF(OR(G25="",F25=""),"",IF(J25&lt;=0,"Paid",IF(Settings!$C$6&lt;F25,IF(N(H25)&gt;0,"Part-paid","Not due"),IF(Settings!$C$6=F25,"Due today","Overdue"))))</f>
        <v/>
      </c>
      <c r="L25" s="27" t="str">
        <f aca="false">IF(OR(G25="",F25=""),"",IF(J25&lt;=0,"",MAX(0,Settings!$C$6-F25)))</f>
        <v/>
      </c>
      <c r="M25" s="31" t="str">
        <f aca="false">IF(OR(G25="",F25=""),"",IF(J25&lt;=0,"Paid",IF(Settings!$C$6&gt;=F25+Settings!$P$18,"E",IF(Settings!$C$6&gt;=F25+Settings!$P$17,"D",IF(Settings!$C$6&gt;=F25+Settings!$P$16,"C",IF(Settings!$C$6&gt;=F25+Settings!$P$15,"B",IF(Settings!$C$6&gt;=F25+Settings!$P$14,"A","—")))))))</f>
        <v/>
      </c>
      <c r="N25" s="28" t="str">
        <f aca="false">IF(OR(G25="",F25="",J25&lt;=0),"",IF(Settings!$C$6&lt;F25+Settings!$P$14,F25+Settings!$P$14,IF(Settings!$C$6&lt;F25+Settings!$P$15,F25+Settings!$P$15,IF(Settings!$C$6&lt;F25+Settings!$P$16,F25+Settings!$P$16,IF(Settings!$C$6&lt;F25+Settings!$P$17,F25+Settings!$P$17,IF(Settings!$C$6&lt;F25+Settings!$P$18,F25+Settings!$P$18,""))))))</f>
        <v/>
      </c>
      <c r="O25" s="22"/>
      <c r="P25" s="26"/>
      <c r="Q25" s="21" t="str">
        <f aca="false">IF(OR(M25="",M25="Paid",M25="—"),IF(M25="Paid","Paid ✓",""),IF(O25="","Send "&amp;M25&amp;" now",IF(CODE(M25)&gt;CODE(O25),"Send "&amp;M25&amp;" now","Up to date")))</f>
        <v/>
      </c>
      <c r="R25" s="22"/>
      <c r="S25" s="29" t="n">
        <f aca="false">IF(LEFT(Q25,4)="Send",1,0)</f>
        <v>0</v>
      </c>
      <c r="T25" s="29" t="str">
        <f aca="false">IF(S25=0,"",COUNTIFS($S$5:$S$204,1,$F$5:$F$204,"&lt;"&amp;F25)+COUNTIFS($S$5:$S25,1,$F$5:$F25,F25))</f>
        <v/>
      </c>
    </row>
    <row r="26" customFormat="false" ht="15" hidden="false" customHeight="false" outlineLevel="0" collapsed="false">
      <c r="A26" s="22"/>
      <c r="B26" s="22"/>
      <c r="C26" s="22"/>
      <c r="D26" s="26"/>
      <c r="E26" s="22"/>
      <c r="F26" s="28" t="str">
        <f aca="false">IF(D26="","",D26+IF(E26="",Settings!$C$7,E26))</f>
        <v/>
      </c>
      <c r="G26" s="23"/>
      <c r="H26" s="23"/>
      <c r="I26" s="26"/>
      <c r="J26" s="25" t="str">
        <f aca="false">IF(G26="","",G26-N(H26))</f>
        <v/>
      </c>
      <c r="K26" s="21" t="str">
        <f aca="false">IF(OR(G26="",F26=""),"",IF(J26&lt;=0,"Paid",IF(Settings!$C$6&lt;F26,IF(N(H26)&gt;0,"Part-paid","Not due"),IF(Settings!$C$6=F26,"Due today","Overdue"))))</f>
        <v/>
      </c>
      <c r="L26" s="27" t="str">
        <f aca="false">IF(OR(G26="",F26=""),"",IF(J26&lt;=0,"",MAX(0,Settings!$C$6-F26)))</f>
        <v/>
      </c>
      <c r="M26" s="31" t="str">
        <f aca="false">IF(OR(G26="",F26=""),"",IF(J26&lt;=0,"Paid",IF(Settings!$C$6&gt;=F26+Settings!$P$18,"E",IF(Settings!$C$6&gt;=F26+Settings!$P$17,"D",IF(Settings!$C$6&gt;=F26+Settings!$P$16,"C",IF(Settings!$C$6&gt;=F26+Settings!$P$15,"B",IF(Settings!$C$6&gt;=F26+Settings!$P$14,"A","—")))))))</f>
        <v/>
      </c>
      <c r="N26" s="28" t="str">
        <f aca="false">IF(OR(G26="",F26="",J26&lt;=0),"",IF(Settings!$C$6&lt;F26+Settings!$P$14,F26+Settings!$P$14,IF(Settings!$C$6&lt;F26+Settings!$P$15,F26+Settings!$P$15,IF(Settings!$C$6&lt;F26+Settings!$P$16,F26+Settings!$P$16,IF(Settings!$C$6&lt;F26+Settings!$P$17,F26+Settings!$P$17,IF(Settings!$C$6&lt;F26+Settings!$P$18,F26+Settings!$P$18,""))))))</f>
        <v/>
      </c>
      <c r="O26" s="22"/>
      <c r="P26" s="26"/>
      <c r="Q26" s="21" t="str">
        <f aca="false">IF(OR(M26="",M26="Paid",M26="—"),IF(M26="Paid","Paid ✓",""),IF(O26="","Send "&amp;M26&amp;" now",IF(CODE(M26)&gt;CODE(O26),"Send "&amp;M26&amp;" now","Up to date")))</f>
        <v/>
      </c>
      <c r="R26" s="22"/>
      <c r="S26" s="29" t="n">
        <f aca="false">IF(LEFT(Q26,4)="Send",1,0)</f>
        <v>0</v>
      </c>
      <c r="T26" s="29" t="str">
        <f aca="false">IF(S26=0,"",COUNTIFS($S$5:$S$204,1,$F$5:$F$204,"&lt;"&amp;F26)+COUNTIFS($S$5:$S26,1,$F$5:$F26,F26))</f>
        <v/>
      </c>
    </row>
    <row r="27" customFormat="false" ht="15" hidden="false" customHeight="false" outlineLevel="0" collapsed="false">
      <c r="A27" s="22"/>
      <c r="B27" s="22"/>
      <c r="C27" s="22"/>
      <c r="D27" s="26"/>
      <c r="E27" s="22"/>
      <c r="F27" s="28" t="str">
        <f aca="false">IF(D27="","",D27+IF(E27="",Settings!$C$7,E27))</f>
        <v/>
      </c>
      <c r="G27" s="23"/>
      <c r="H27" s="23"/>
      <c r="I27" s="26"/>
      <c r="J27" s="25" t="str">
        <f aca="false">IF(G27="","",G27-N(H27))</f>
        <v/>
      </c>
      <c r="K27" s="21" t="str">
        <f aca="false">IF(OR(G27="",F27=""),"",IF(J27&lt;=0,"Paid",IF(Settings!$C$6&lt;F27,IF(N(H27)&gt;0,"Part-paid","Not due"),IF(Settings!$C$6=F27,"Due today","Overdue"))))</f>
        <v/>
      </c>
      <c r="L27" s="27" t="str">
        <f aca="false">IF(OR(G27="",F27=""),"",IF(J27&lt;=0,"",MAX(0,Settings!$C$6-F27)))</f>
        <v/>
      </c>
      <c r="M27" s="31" t="str">
        <f aca="false">IF(OR(G27="",F27=""),"",IF(J27&lt;=0,"Paid",IF(Settings!$C$6&gt;=F27+Settings!$P$18,"E",IF(Settings!$C$6&gt;=F27+Settings!$P$17,"D",IF(Settings!$C$6&gt;=F27+Settings!$P$16,"C",IF(Settings!$C$6&gt;=F27+Settings!$P$15,"B",IF(Settings!$C$6&gt;=F27+Settings!$P$14,"A","—")))))))</f>
        <v/>
      </c>
      <c r="N27" s="28" t="str">
        <f aca="false">IF(OR(G27="",F27="",J27&lt;=0),"",IF(Settings!$C$6&lt;F27+Settings!$P$14,F27+Settings!$P$14,IF(Settings!$C$6&lt;F27+Settings!$P$15,F27+Settings!$P$15,IF(Settings!$C$6&lt;F27+Settings!$P$16,F27+Settings!$P$16,IF(Settings!$C$6&lt;F27+Settings!$P$17,F27+Settings!$P$17,IF(Settings!$C$6&lt;F27+Settings!$P$18,F27+Settings!$P$18,""))))))</f>
        <v/>
      </c>
      <c r="O27" s="22"/>
      <c r="P27" s="26"/>
      <c r="Q27" s="21" t="str">
        <f aca="false">IF(OR(M27="",M27="Paid",M27="—"),IF(M27="Paid","Paid ✓",""),IF(O27="","Send "&amp;M27&amp;" now",IF(CODE(M27)&gt;CODE(O27),"Send "&amp;M27&amp;" now","Up to date")))</f>
        <v/>
      </c>
      <c r="R27" s="22"/>
      <c r="S27" s="29" t="n">
        <f aca="false">IF(LEFT(Q27,4)="Send",1,0)</f>
        <v>0</v>
      </c>
      <c r="T27" s="29" t="str">
        <f aca="false">IF(S27=0,"",COUNTIFS($S$5:$S$204,1,$F$5:$F$204,"&lt;"&amp;F27)+COUNTIFS($S$5:$S27,1,$F$5:$F27,F27))</f>
        <v/>
      </c>
    </row>
    <row r="28" customFormat="false" ht="15" hidden="false" customHeight="false" outlineLevel="0" collapsed="false">
      <c r="A28" s="22"/>
      <c r="B28" s="22"/>
      <c r="C28" s="22"/>
      <c r="D28" s="26"/>
      <c r="E28" s="22"/>
      <c r="F28" s="28" t="str">
        <f aca="false">IF(D28="","",D28+IF(E28="",Settings!$C$7,E28))</f>
        <v/>
      </c>
      <c r="G28" s="23"/>
      <c r="H28" s="23"/>
      <c r="I28" s="26"/>
      <c r="J28" s="25" t="str">
        <f aca="false">IF(G28="","",G28-N(H28))</f>
        <v/>
      </c>
      <c r="K28" s="21" t="str">
        <f aca="false">IF(OR(G28="",F28=""),"",IF(J28&lt;=0,"Paid",IF(Settings!$C$6&lt;F28,IF(N(H28)&gt;0,"Part-paid","Not due"),IF(Settings!$C$6=F28,"Due today","Overdue"))))</f>
        <v/>
      </c>
      <c r="L28" s="27" t="str">
        <f aca="false">IF(OR(G28="",F28=""),"",IF(J28&lt;=0,"",MAX(0,Settings!$C$6-F28)))</f>
        <v/>
      </c>
      <c r="M28" s="31" t="str">
        <f aca="false">IF(OR(G28="",F28=""),"",IF(J28&lt;=0,"Paid",IF(Settings!$C$6&gt;=F28+Settings!$P$18,"E",IF(Settings!$C$6&gt;=F28+Settings!$P$17,"D",IF(Settings!$C$6&gt;=F28+Settings!$P$16,"C",IF(Settings!$C$6&gt;=F28+Settings!$P$15,"B",IF(Settings!$C$6&gt;=F28+Settings!$P$14,"A","—")))))))</f>
        <v/>
      </c>
      <c r="N28" s="28" t="str">
        <f aca="false">IF(OR(G28="",F28="",J28&lt;=0),"",IF(Settings!$C$6&lt;F28+Settings!$P$14,F28+Settings!$P$14,IF(Settings!$C$6&lt;F28+Settings!$P$15,F28+Settings!$P$15,IF(Settings!$C$6&lt;F28+Settings!$P$16,F28+Settings!$P$16,IF(Settings!$C$6&lt;F28+Settings!$P$17,F28+Settings!$P$17,IF(Settings!$C$6&lt;F28+Settings!$P$18,F28+Settings!$P$18,""))))))</f>
        <v/>
      </c>
      <c r="O28" s="22"/>
      <c r="P28" s="26"/>
      <c r="Q28" s="21" t="str">
        <f aca="false">IF(OR(M28="",M28="Paid",M28="—"),IF(M28="Paid","Paid ✓",""),IF(O28="","Send "&amp;M28&amp;" now",IF(CODE(M28)&gt;CODE(O28),"Send "&amp;M28&amp;" now","Up to date")))</f>
        <v/>
      </c>
      <c r="R28" s="22"/>
      <c r="S28" s="29" t="n">
        <f aca="false">IF(LEFT(Q28,4)="Send",1,0)</f>
        <v>0</v>
      </c>
      <c r="T28" s="29" t="str">
        <f aca="false">IF(S28=0,"",COUNTIFS($S$5:$S$204,1,$F$5:$F$204,"&lt;"&amp;F28)+COUNTIFS($S$5:$S28,1,$F$5:$F28,F28))</f>
        <v/>
      </c>
    </row>
    <row r="29" customFormat="false" ht="15" hidden="false" customHeight="false" outlineLevel="0" collapsed="false">
      <c r="A29" s="22"/>
      <c r="B29" s="22"/>
      <c r="C29" s="22"/>
      <c r="D29" s="26"/>
      <c r="E29" s="22"/>
      <c r="F29" s="28" t="str">
        <f aca="false">IF(D29="","",D29+IF(E29="",Settings!$C$7,E29))</f>
        <v/>
      </c>
      <c r="G29" s="23"/>
      <c r="H29" s="23"/>
      <c r="I29" s="26"/>
      <c r="J29" s="25" t="str">
        <f aca="false">IF(G29="","",G29-N(H29))</f>
        <v/>
      </c>
      <c r="K29" s="21" t="str">
        <f aca="false">IF(OR(G29="",F29=""),"",IF(J29&lt;=0,"Paid",IF(Settings!$C$6&lt;F29,IF(N(H29)&gt;0,"Part-paid","Not due"),IF(Settings!$C$6=F29,"Due today","Overdue"))))</f>
        <v/>
      </c>
      <c r="L29" s="27" t="str">
        <f aca="false">IF(OR(G29="",F29=""),"",IF(J29&lt;=0,"",MAX(0,Settings!$C$6-F29)))</f>
        <v/>
      </c>
      <c r="M29" s="31" t="str">
        <f aca="false">IF(OR(G29="",F29=""),"",IF(J29&lt;=0,"Paid",IF(Settings!$C$6&gt;=F29+Settings!$P$18,"E",IF(Settings!$C$6&gt;=F29+Settings!$P$17,"D",IF(Settings!$C$6&gt;=F29+Settings!$P$16,"C",IF(Settings!$C$6&gt;=F29+Settings!$P$15,"B",IF(Settings!$C$6&gt;=F29+Settings!$P$14,"A","—")))))))</f>
        <v/>
      </c>
      <c r="N29" s="28" t="str">
        <f aca="false">IF(OR(G29="",F29="",J29&lt;=0),"",IF(Settings!$C$6&lt;F29+Settings!$P$14,F29+Settings!$P$14,IF(Settings!$C$6&lt;F29+Settings!$P$15,F29+Settings!$P$15,IF(Settings!$C$6&lt;F29+Settings!$P$16,F29+Settings!$P$16,IF(Settings!$C$6&lt;F29+Settings!$P$17,F29+Settings!$P$17,IF(Settings!$C$6&lt;F29+Settings!$P$18,F29+Settings!$P$18,""))))))</f>
        <v/>
      </c>
      <c r="O29" s="22"/>
      <c r="P29" s="26"/>
      <c r="Q29" s="21" t="str">
        <f aca="false">IF(OR(M29="",M29="Paid",M29="—"),IF(M29="Paid","Paid ✓",""),IF(O29="","Send "&amp;M29&amp;" now",IF(CODE(M29)&gt;CODE(O29),"Send "&amp;M29&amp;" now","Up to date")))</f>
        <v/>
      </c>
      <c r="R29" s="22"/>
      <c r="S29" s="29" t="n">
        <f aca="false">IF(LEFT(Q29,4)="Send",1,0)</f>
        <v>0</v>
      </c>
      <c r="T29" s="29" t="str">
        <f aca="false">IF(S29=0,"",COUNTIFS($S$5:$S$204,1,$F$5:$F$204,"&lt;"&amp;F29)+COUNTIFS($S$5:$S29,1,$F$5:$F29,F29))</f>
        <v/>
      </c>
    </row>
    <row r="30" customFormat="false" ht="15" hidden="false" customHeight="false" outlineLevel="0" collapsed="false">
      <c r="A30" s="22"/>
      <c r="B30" s="22"/>
      <c r="C30" s="22"/>
      <c r="D30" s="26"/>
      <c r="E30" s="22"/>
      <c r="F30" s="28" t="str">
        <f aca="false">IF(D30="","",D30+IF(E30="",Settings!$C$7,E30))</f>
        <v/>
      </c>
      <c r="G30" s="23"/>
      <c r="H30" s="23"/>
      <c r="I30" s="26"/>
      <c r="J30" s="25" t="str">
        <f aca="false">IF(G30="","",G30-N(H30))</f>
        <v/>
      </c>
      <c r="K30" s="21" t="str">
        <f aca="false">IF(OR(G30="",F30=""),"",IF(J30&lt;=0,"Paid",IF(Settings!$C$6&lt;F30,IF(N(H30)&gt;0,"Part-paid","Not due"),IF(Settings!$C$6=F30,"Due today","Overdue"))))</f>
        <v/>
      </c>
      <c r="L30" s="27" t="str">
        <f aca="false">IF(OR(G30="",F30=""),"",IF(J30&lt;=0,"",MAX(0,Settings!$C$6-F30)))</f>
        <v/>
      </c>
      <c r="M30" s="31" t="str">
        <f aca="false">IF(OR(G30="",F30=""),"",IF(J30&lt;=0,"Paid",IF(Settings!$C$6&gt;=F30+Settings!$P$18,"E",IF(Settings!$C$6&gt;=F30+Settings!$P$17,"D",IF(Settings!$C$6&gt;=F30+Settings!$P$16,"C",IF(Settings!$C$6&gt;=F30+Settings!$P$15,"B",IF(Settings!$C$6&gt;=F30+Settings!$P$14,"A","—")))))))</f>
        <v/>
      </c>
      <c r="N30" s="28" t="str">
        <f aca="false">IF(OR(G30="",F30="",J30&lt;=0),"",IF(Settings!$C$6&lt;F30+Settings!$P$14,F30+Settings!$P$14,IF(Settings!$C$6&lt;F30+Settings!$P$15,F30+Settings!$P$15,IF(Settings!$C$6&lt;F30+Settings!$P$16,F30+Settings!$P$16,IF(Settings!$C$6&lt;F30+Settings!$P$17,F30+Settings!$P$17,IF(Settings!$C$6&lt;F30+Settings!$P$18,F30+Settings!$P$18,""))))))</f>
        <v/>
      </c>
      <c r="O30" s="22"/>
      <c r="P30" s="26"/>
      <c r="Q30" s="21" t="str">
        <f aca="false">IF(OR(M30="",M30="Paid",M30="—"),IF(M30="Paid","Paid ✓",""),IF(O30="","Send "&amp;M30&amp;" now",IF(CODE(M30)&gt;CODE(O30),"Send "&amp;M30&amp;" now","Up to date")))</f>
        <v/>
      </c>
      <c r="R30" s="22"/>
      <c r="S30" s="29" t="n">
        <f aca="false">IF(LEFT(Q30,4)="Send",1,0)</f>
        <v>0</v>
      </c>
      <c r="T30" s="29" t="str">
        <f aca="false">IF(S30=0,"",COUNTIFS($S$5:$S$204,1,$F$5:$F$204,"&lt;"&amp;F30)+COUNTIFS($S$5:$S30,1,$F$5:$F30,F30))</f>
        <v/>
      </c>
    </row>
    <row r="31" customFormat="false" ht="15" hidden="false" customHeight="false" outlineLevel="0" collapsed="false">
      <c r="A31" s="22"/>
      <c r="B31" s="22"/>
      <c r="C31" s="22"/>
      <c r="D31" s="26"/>
      <c r="E31" s="22"/>
      <c r="F31" s="28" t="str">
        <f aca="false">IF(D31="","",D31+IF(E31="",Settings!$C$7,E31))</f>
        <v/>
      </c>
      <c r="G31" s="23"/>
      <c r="H31" s="23"/>
      <c r="I31" s="26"/>
      <c r="J31" s="25" t="str">
        <f aca="false">IF(G31="","",G31-N(H31))</f>
        <v/>
      </c>
      <c r="K31" s="21" t="str">
        <f aca="false">IF(OR(G31="",F31=""),"",IF(J31&lt;=0,"Paid",IF(Settings!$C$6&lt;F31,IF(N(H31)&gt;0,"Part-paid","Not due"),IF(Settings!$C$6=F31,"Due today","Overdue"))))</f>
        <v/>
      </c>
      <c r="L31" s="27" t="str">
        <f aca="false">IF(OR(G31="",F31=""),"",IF(J31&lt;=0,"",MAX(0,Settings!$C$6-F31)))</f>
        <v/>
      </c>
      <c r="M31" s="31" t="str">
        <f aca="false">IF(OR(G31="",F31=""),"",IF(J31&lt;=0,"Paid",IF(Settings!$C$6&gt;=F31+Settings!$P$18,"E",IF(Settings!$C$6&gt;=F31+Settings!$P$17,"D",IF(Settings!$C$6&gt;=F31+Settings!$P$16,"C",IF(Settings!$C$6&gt;=F31+Settings!$P$15,"B",IF(Settings!$C$6&gt;=F31+Settings!$P$14,"A","—")))))))</f>
        <v/>
      </c>
      <c r="N31" s="28" t="str">
        <f aca="false">IF(OR(G31="",F31="",J31&lt;=0),"",IF(Settings!$C$6&lt;F31+Settings!$P$14,F31+Settings!$P$14,IF(Settings!$C$6&lt;F31+Settings!$P$15,F31+Settings!$P$15,IF(Settings!$C$6&lt;F31+Settings!$P$16,F31+Settings!$P$16,IF(Settings!$C$6&lt;F31+Settings!$P$17,F31+Settings!$P$17,IF(Settings!$C$6&lt;F31+Settings!$P$18,F31+Settings!$P$18,""))))))</f>
        <v/>
      </c>
      <c r="O31" s="22"/>
      <c r="P31" s="26"/>
      <c r="Q31" s="21" t="str">
        <f aca="false">IF(OR(M31="",M31="Paid",M31="—"),IF(M31="Paid","Paid ✓",""),IF(O31="","Send "&amp;M31&amp;" now",IF(CODE(M31)&gt;CODE(O31),"Send "&amp;M31&amp;" now","Up to date")))</f>
        <v/>
      </c>
      <c r="R31" s="22"/>
      <c r="S31" s="29" t="n">
        <f aca="false">IF(LEFT(Q31,4)="Send",1,0)</f>
        <v>0</v>
      </c>
      <c r="T31" s="29" t="str">
        <f aca="false">IF(S31=0,"",COUNTIFS($S$5:$S$204,1,$F$5:$F$204,"&lt;"&amp;F31)+COUNTIFS($S$5:$S31,1,$F$5:$F31,F31))</f>
        <v/>
      </c>
    </row>
    <row r="32" customFormat="false" ht="15" hidden="false" customHeight="false" outlineLevel="0" collapsed="false">
      <c r="A32" s="22"/>
      <c r="B32" s="22"/>
      <c r="C32" s="22"/>
      <c r="D32" s="26"/>
      <c r="E32" s="22"/>
      <c r="F32" s="28" t="str">
        <f aca="false">IF(D32="","",D32+IF(E32="",Settings!$C$7,E32))</f>
        <v/>
      </c>
      <c r="G32" s="23"/>
      <c r="H32" s="23"/>
      <c r="I32" s="26"/>
      <c r="J32" s="25" t="str">
        <f aca="false">IF(G32="","",G32-N(H32))</f>
        <v/>
      </c>
      <c r="K32" s="21" t="str">
        <f aca="false">IF(OR(G32="",F32=""),"",IF(J32&lt;=0,"Paid",IF(Settings!$C$6&lt;F32,IF(N(H32)&gt;0,"Part-paid","Not due"),IF(Settings!$C$6=F32,"Due today","Overdue"))))</f>
        <v/>
      </c>
      <c r="L32" s="27" t="str">
        <f aca="false">IF(OR(G32="",F32=""),"",IF(J32&lt;=0,"",MAX(0,Settings!$C$6-F32)))</f>
        <v/>
      </c>
      <c r="M32" s="31" t="str">
        <f aca="false">IF(OR(G32="",F32=""),"",IF(J32&lt;=0,"Paid",IF(Settings!$C$6&gt;=F32+Settings!$P$18,"E",IF(Settings!$C$6&gt;=F32+Settings!$P$17,"D",IF(Settings!$C$6&gt;=F32+Settings!$P$16,"C",IF(Settings!$C$6&gt;=F32+Settings!$P$15,"B",IF(Settings!$C$6&gt;=F32+Settings!$P$14,"A","—")))))))</f>
        <v/>
      </c>
      <c r="N32" s="28" t="str">
        <f aca="false">IF(OR(G32="",F32="",J32&lt;=0),"",IF(Settings!$C$6&lt;F32+Settings!$P$14,F32+Settings!$P$14,IF(Settings!$C$6&lt;F32+Settings!$P$15,F32+Settings!$P$15,IF(Settings!$C$6&lt;F32+Settings!$P$16,F32+Settings!$P$16,IF(Settings!$C$6&lt;F32+Settings!$P$17,F32+Settings!$P$17,IF(Settings!$C$6&lt;F32+Settings!$P$18,F32+Settings!$P$18,""))))))</f>
        <v/>
      </c>
      <c r="O32" s="22"/>
      <c r="P32" s="26"/>
      <c r="Q32" s="21" t="str">
        <f aca="false">IF(OR(M32="",M32="Paid",M32="—"),IF(M32="Paid","Paid ✓",""),IF(O32="","Send "&amp;M32&amp;" now",IF(CODE(M32)&gt;CODE(O32),"Send "&amp;M32&amp;" now","Up to date")))</f>
        <v/>
      </c>
      <c r="R32" s="22"/>
      <c r="S32" s="29" t="n">
        <f aca="false">IF(LEFT(Q32,4)="Send",1,0)</f>
        <v>0</v>
      </c>
      <c r="T32" s="29" t="str">
        <f aca="false">IF(S32=0,"",COUNTIFS($S$5:$S$204,1,$F$5:$F$204,"&lt;"&amp;F32)+COUNTIFS($S$5:$S32,1,$F$5:$F32,F32))</f>
        <v/>
      </c>
    </row>
    <row r="33" customFormat="false" ht="15" hidden="false" customHeight="false" outlineLevel="0" collapsed="false">
      <c r="A33" s="22"/>
      <c r="B33" s="22"/>
      <c r="C33" s="22"/>
      <c r="D33" s="26"/>
      <c r="E33" s="22"/>
      <c r="F33" s="28" t="str">
        <f aca="false">IF(D33="","",D33+IF(E33="",Settings!$C$7,E33))</f>
        <v/>
      </c>
      <c r="G33" s="23"/>
      <c r="H33" s="23"/>
      <c r="I33" s="26"/>
      <c r="J33" s="25" t="str">
        <f aca="false">IF(G33="","",G33-N(H33))</f>
        <v/>
      </c>
      <c r="K33" s="21" t="str">
        <f aca="false">IF(OR(G33="",F33=""),"",IF(J33&lt;=0,"Paid",IF(Settings!$C$6&lt;F33,IF(N(H33)&gt;0,"Part-paid","Not due"),IF(Settings!$C$6=F33,"Due today","Overdue"))))</f>
        <v/>
      </c>
      <c r="L33" s="27" t="str">
        <f aca="false">IF(OR(G33="",F33=""),"",IF(J33&lt;=0,"",MAX(0,Settings!$C$6-F33)))</f>
        <v/>
      </c>
      <c r="M33" s="31" t="str">
        <f aca="false">IF(OR(G33="",F33=""),"",IF(J33&lt;=0,"Paid",IF(Settings!$C$6&gt;=F33+Settings!$P$18,"E",IF(Settings!$C$6&gt;=F33+Settings!$P$17,"D",IF(Settings!$C$6&gt;=F33+Settings!$P$16,"C",IF(Settings!$C$6&gt;=F33+Settings!$P$15,"B",IF(Settings!$C$6&gt;=F33+Settings!$P$14,"A","—")))))))</f>
        <v/>
      </c>
      <c r="N33" s="28" t="str">
        <f aca="false">IF(OR(G33="",F33="",J33&lt;=0),"",IF(Settings!$C$6&lt;F33+Settings!$P$14,F33+Settings!$P$14,IF(Settings!$C$6&lt;F33+Settings!$P$15,F33+Settings!$P$15,IF(Settings!$C$6&lt;F33+Settings!$P$16,F33+Settings!$P$16,IF(Settings!$C$6&lt;F33+Settings!$P$17,F33+Settings!$P$17,IF(Settings!$C$6&lt;F33+Settings!$P$18,F33+Settings!$P$18,""))))))</f>
        <v/>
      </c>
      <c r="O33" s="22"/>
      <c r="P33" s="26"/>
      <c r="Q33" s="21" t="str">
        <f aca="false">IF(OR(M33="",M33="Paid",M33="—"),IF(M33="Paid","Paid ✓",""),IF(O33="","Send "&amp;M33&amp;" now",IF(CODE(M33)&gt;CODE(O33),"Send "&amp;M33&amp;" now","Up to date")))</f>
        <v/>
      </c>
      <c r="R33" s="22"/>
      <c r="S33" s="29" t="n">
        <f aca="false">IF(LEFT(Q33,4)="Send",1,0)</f>
        <v>0</v>
      </c>
      <c r="T33" s="29" t="str">
        <f aca="false">IF(S33=0,"",COUNTIFS($S$5:$S$204,1,$F$5:$F$204,"&lt;"&amp;F33)+COUNTIFS($S$5:$S33,1,$F$5:$F33,F33))</f>
        <v/>
      </c>
    </row>
    <row r="34" customFormat="false" ht="15" hidden="false" customHeight="false" outlineLevel="0" collapsed="false">
      <c r="A34" s="22"/>
      <c r="B34" s="22"/>
      <c r="C34" s="22"/>
      <c r="D34" s="26"/>
      <c r="E34" s="22"/>
      <c r="F34" s="28" t="str">
        <f aca="false">IF(D34="","",D34+IF(E34="",Settings!$C$7,E34))</f>
        <v/>
      </c>
      <c r="G34" s="23"/>
      <c r="H34" s="23"/>
      <c r="I34" s="26"/>
      <c r="J34" s="25" t="str">
        <f aca="false">IF(G34="","",G34-N(H34))</f>
        <v/>
      </c>
      <c r="K34" s="21" t="str">
        <f aca="false">IF(OR(G34="",F34=""),"",IF(J34&lt;=0,"Paid",IF(Settings!$C$6&lt;F34,IF(N(H34)&gt;0,"Part-paid","Not due"),IF(Settings!$C$6=F34,"Due today","Overdue"))))</f>
        <v/>
      </c>
      <c r="L34" s="27" t="str">
        <f aca="false">IF(OR(G34="",F34=""),"",IF(J34&lt;=0,"",MAX(0,Settings!$C$6-F34)))</f>
        <v/>
      </c>
      <c r="M34" s="31" t="str">
        <f aca="false">IF(OR(G34="",F34=""),"",IF(J34&lt;=0,"Paid",IF(Settings!$C$6&gt;=F34+Settings!$P$18,"E",IF(Settings!$C$6&gt;=F34+Settings!$P$17,"D",IF(Settings!$C$6&gt;=F34+Settings!$P$16,"C",IF(Settings!$C$6&gt;=F34+Settings!$P$15,"B",IF(Settings!$C$6&gt;=F34+Settings!$P$14,"A","—")))))))</f>
        <v/>
      </c>
      <c r="N34" s="28" t="str">
        <f aca="false">IF(OR(G34="",F34="",J34&lt;=0),"",IF(Settings!$C$6&lt;F34+Settings!$P$14,F34+Settings!$P$14,IF(Settings!$C$6&lt;F34+Settings!$P$15,F34+Settings!$P$15,IF(Settings!$C$6&lt;F34+Settings!$P$16,F34+Settings!$P$16,IF(Settings!$C$6&lt;F34+Settings!$P$17,F34+Settings!$P$17,IF(Settings!$C$6&lt;F34+Settings!$P$18,F34+Settings!$P$18,""))))))</f>
        <v/>
      </c>
      <c r="O34" s="22"/>
      <c r="P34" s="26"/>
      <c r="Q34" s="21" t="str">
        <f aca="false">IF(OR(M34="",M34="Paid",M34="—"),IF(M34="Paid","Paid ✓",""),IF(O34="","Send "&amp;M34&amp;" now",IF(CODE(M34)&gt;CODE(O34),"Send "&amp;M34&amp;" now","Up to date")))</f>
        <v/>
      </c>
      <c r="R34" s="22"/>
      <c r="S34" s="29" t="n">
        <f aca="false">IF(LEFT(Q34,4)="Send",1,0)</f>
        <v>0</v>
      </c>
      <c r="T34" s="29" t="str">
        <f aca="false">IF(S34=0,"",COUNTIFS($S$5:$S$204,1,$F$5:$F$204,"&lt;"&amp;F34)+COUNTIFS($S$5:$S34,1,$F$5:$F34,F34))</f>
        <v/>
      </c>
    </row>
    <row r="35" customFormat="false" ht="15" hidden="false" customHeight="false" outlineLevel="0" collapsed="false">
      <c r="A35" s="22"/>
      <c r="B35" s="22"/>
      <c r="C35" s="22"/>
      <c r="D35" s="26"/>
      <c r="E35" s="22"/>
      <c r="F35" s="28" t="str">
        <f aca="false">IF(D35="","",D35+IF(E35="",Settings!$C$7,E35))</f>
        <v/>
      </c>
      <c r="G35" s="23"/>
      <c r="H35" s="23"/>
      <c r="I35" s="26"/>
      <c r="J35" s="25" t="str">
        <f aca="false">IF(G35="","",G35-N(H35))</f>
        <v/>
      </c>
      <c r="K35" s="21" t="str">
        <f aca="false">IF(OR(G35="",F35=""),"",IF(J35&lt;=0,"Paid",IF(Settings!$C$6&lt;F35,IF(N(H35)&gt;0,"Part-paid","Not due"),IF(Settings!$C$6=F35,"Due today","Overdue"))))</f>
        <v/>
      </c>
      <c r="L35" s="27" t="str">
        <f aca="false">IF(OR(G35="",F35=""),"",IF(J35&lt;=0,"",MAX(0,Settings!$C$6-F35)))</f>
        <v/>
      </c>
      <c r="M35" s="31" t="str">
        <f aca="false">IF(OR(G35="",F35=""),"",IF(J35&lt;=0,"Paid",IF(Settings!$C$6&gt;=F35+Settings!$P$18,"E",IF(Settings!$C$6&gt;=F35+Settings!$P$17,"D",IF(Settings!$C$6&gt;=F35+Settings!$P$16,"C",IF(Settings!$C$6&gt;=F35+Settings!$P$15,"B",IF(Settings!$C$6&gt;=F35+Settings!$P$14,"A","—")))))))</f>
        <v/>
      </c>
      <c r="N35" s="28" t="str">
        <f aca="false">IF(OR(G35="",F35="",J35&lt;=0),"",IF(Settings!$C$6&lt;F35+Settings!$P$14,F35+Settings!$P$14,IF(Settings!$C$6&lt;F35+Settings!$P$15,F35+Settings!$P$15,IF(Settings!$C$6&lt;F35+Settings!$P$16,F35+Settings!$P$16,IF(Settings!$C$6&lt;F35+Settings!$P$17,F35+Settings!$P$17,IF(Settings!$C$6&lt;F35+Settings!$P$18,F35+Settings!$P$18,""))))))</f>
        <v/>
      </c>
      <c r="O35" s="22"/>
      <c r="P35" s="26"/>
      <c r="Q35" s="21" t="str">
        <f aca="false">IF(OR(M35="",M35="Paid",M35="—"),IF(M35="Paid","Paid ✓",""),IF(O35="","Send "&amp;M35&amp;" now",IF(CODE(M35)&gt;CODE(O35),"Send "&amp;M35&amp;" now","Up to date")))</f>
        <v/>
      </c>
      <c r="R35" s="22"/>
      <c r="S35" s="29" t="n">
        <f aca="false">IF(LEFT(Q35,4)="Send",1,0)</f>
        <v>0</v>
      </c>
      <c r="T35" s="29" t="str">
        <f aca="false">IF(S35=0,"",COUNTIFS($S$5:$S$204,1,$F$5:$F$204,"&lt;"&amp;F35)+COUNTIFS($S$5:$S35,1,$F$5:$F35,F35))</f>
        <v/>
      </c>
    </row>
    <row r="36" customFormat="false" ht="15" hidden="false" customHeight="false" outlineLevel="0" collapsed="false">
      <c r="A36" s="22"/>
      <c r="B36" s="22"/>
      <c r="C36" s="22"/>
      <c r="D36" s="26"/>
      <c r="E36" s="22"/>
      <c r="F36" s="28" t="str">
        <f aca="false">IF(D36="","",D36+IF(E36="",Settings!$C$7,E36))</f>
        <v/>
      </c>
      <c r="G36" s="23"/>
      <c r="H36" s="23"/>
      <c r="I36" s="26"/>
      <c r="J36" s="25" t="str">
        <f aca="false">IF(G36="","",G36-N(H36))</f>
        <v/>
      </c>
      <c r="K36" s="21" t="str">
        <f aca="false">IF(OR(G36="",F36=""),"",IF(J36&lt;=0,"Paid",IF(Settings!$C$6&lt;F36,IF(N(H36)&gt;0,"Part-paid","Not due"),IF(Settings!$C$6=F36,"Due today","Overdue"))))</f>
        <v/>
      </c>
      <c r="L36" s="27" t="str">
        <f aca="false">IF(OR(G36="",F36=""),"",IF(J36&lt;=0,"",MAX(0,Settings!$C$6-F36)))</f>
        <v/>
      </c>
      <c r="M36" s="31" t="str">
        <f aca="false">IF(OR(G36="",F36=""),"",IF(J36&lt;=0,"Paid",IF(Settings!$C$6&gt;=F36+Settings!$P$18,"E",IF(Settings!$C$6&gt;=F36+Settings!$P$17,"D",IF(Settings!$C$6&gt;=F36+Settings!$P$16,"C",IF(Settings!$C$6&gt;=F36+Settings!$P$15,"B",IF(Settings!$C$6&gt;=F36+Settings!$P$14,"A","—")))))))</f>
        <v/>
      </c>
      <c r="N36" s="28" t="str">
        <f aca="false">IF(OR(G36="",F36="",J36&lt;=0),"",IF(Settings!$C$6&lt;F36+Settings!$P$14,F36+Settings!$P$14,IF(Settings!$C$6&lt;F36+Settings!$P$15,F36+Settings!$P$15,IF(Settings!$C$6&lt;F36+Settings!$P$16,F36+Settings!$P$16,IF(Settings!$C$6&lt;F36+Settings!$P$17,F36+Settings!$P$17,IF(Settings!$C$6&lt;F36+Settings!$P$18,F36+Settings!$P$18,""))))))</f>
        <v/>
      </c>
      <c r="O36" s="22"/>
      <c r="P36" s="26"/>
      <c r="Q36" s="21" t="str">
        <f aca="false">IF(OR(M36="",M36="Paid",M36="—"),IF(M36="Paid","Paid ✓",""),IF(O36="","Send "&amp;M36&amp;" now",IF(CODE(M36)&gt;CODE(O36),"Send "&amp;M36&amp;" now","Up to date")))</f>
        <v/>
      </c>
      <c r="R36" s="22"/>
      <c r="S36" s="29" t="n">
        <f aca="false">IF(LEFT(Q36,4)="Send",1,0)</f>
        <v>0</v>
      </c>
      <c r="T36" s="29" t="str">
        <f aca="false">IF(S36=0,"",COUNTIFS($S$5:$S$204,1,$F$5:$F$204,"&lt;"&amp;F36)+COUNTIFS($S$5:$S36,1,$F$5:$F36,F36))</f>
        <v/>
      </c>
    </row>
    <row r="37" customFormat="false" ht="15" hidden="false" customHeight="false" outlineLevel="0" collapsed="false">
      <c r="A37" s="22"/>
      <c r="B37" s="22"/>
      <c r="C37" s="22"/>
      <c r="D37" s="26"/>
      <c r="E37" s="22"/>
      <c r="F37" s="28" t="str">
        <f aca="false">IF(D37="","",D37+IF(E37="",Settings!$C$7,E37))</f>
        <v/>
      </c>
      <c r="G37" s="23"/>
      <c r="H37" s="23"/>
      <c r="I37" s="26"/>
      <c r="J37" s="25" t="str">
        <f aca="false">IF(G37="","",G37-N(H37))</f>
        <v/>
      </c>
      <c r="K37" s="21" t="str">
        <f aca="false">IF(OR(G37="",F37=""),"",IF(J37&lt;=0,"Paid",IF(Settings!$C$6&lt;F37,IF(N(H37)&gt;0,"Part-paid","Not due"),IF(Settings!$C$6=F37,"Due today","Overdue"))))</f>
        <v/>
      </c>
      <c r="L37" s="27" t="str">
        <f aca="false">IF(OR(G37="",F37=""),"",IF(J37&lt;=0,"",MAX(0,Settings!$C$6-F37)))</f>
        <v/>
      </c>
      <c r="M37" s="31" t="str">
        <f aca="false">IF(OR(G37="",F37=""),"",IF(J37&lt;=0,"Paid",IF(Settings!$C$6&gt;=F37+Settings!$P$18,"E",IF(Settings!$C$6&gt;=F37+Settings!$P$17,"D",IF(Settings!$C$6&gt;=F37+Settings!$P$16,"C",IF(Settings!$C$6&gt;=F37+Settings!$P$15,"B",IF(Settings!$C$6&gt;=F37+Settings!$P$14,"A","—")))))))</f>
        <v/>
      </c>
      <c r="N37" s="28" t="str">
        <f aca="false">IF(OR(G37="",F37="",J37&lt;=0),"",IF(Settings!$C$6&lt;F37+Settings!$P$14,F37+Settings!$P$14,IF(Settings!$C$6&lt;F37+Settings!$P$15,F37+Settings!$P$15,IF(Settings!$C$6&lt;F37+Settings!$P$16,F37+Settings!$P$16,IF(Settings!$C$6&lt;F37+Settings!$P$17,F37+Settings!$P$17,IF(Settings!$C$6&lt;F37+Settings!$P$18,F37+Settings!$P$18,""))))))</f>
        <v/>
      </c>
      <c r="O37" s="22"/>
      <c r="P37" s="26"/>
      <c r="Q37" s="21" t="str">
        <f aca="false">IF(OR(M37="",M37="Paid",M37="—"),IF(M37="Paid","Paid ✓",""),IF(O37="","Send "&amp;M37&amp;" now",IF(CODE(M37)&gt;CODE(O37),"Send "&amp;M37&amp;" now","Up to date")))</f>
        <v/>
      </c>
      <c r="R37" s="22"/>
      <c r="S37" s="29" t="n">
        <f aca="false">IF(LEFT(Q37,4)="Send",1,0)</f>
        <v>0</v>
      </c>
      <c r="T37" s="29" t="str">
        <f aca="false">IF(S37=0,"",COUNTIFS($S$5:$S$204,1,$F$5:$F$204,"&lt;"&amp;F37)+COUNTIFS($S$5:$S37,1,$F$5:$F37,F37))</f>
        <v/>
      </c>
    </row>
    <row r="38" customFormat="false" ht="15" hidden="false" customHeight="false" outlineLevel="0" collapsed="false">
      <c r="A38" s="22"/>
      <c r="B38" s="22"/>
      <c r="C38" s="22"/>
      <c r="D38" s="26"/>
      <c r="E38" s="22"/>
      <c r="F38" s="28" t="str">
        <f aca="false">IF(D38="","",D38+IF(E38="",Settings!$C$7,E38))</f>
        <v/>
      </c>
      <c r="G38" s="23"/>
      <c r="H38" s="23"/>
      <c r="I38" s="26"/>
      <c r="J38" s="25" t="str">
        <f aca="false">IF(G38="","",G38-N(H38))</f>
        <v/>
      </c>
      <c r="K38" s="21" t="str">
        <f aca="false">IF(OR(G38="",F38=""),"",IF(J38&lt;=0,"Paid",IF(Settings!$C$6&lt;F38,IF(N(H38)&gt;0,"Part-paid","Not due"),IF(Settings!$C$6=F38,"Due today","Overdue"))))</f>
        <v/>
      </c>
      <c r="L38" s="27" t="str">
        <f aca="false">IF(OR(G38="",F38=""),"",IF(J38&lt;=0,"",MAX(0,Settings!$C$6-F38)))</f>
        <v/>
      </c>
      <c r="M38" s="31" t="str">
        <f aca="false">IF(OR(G38="",F38=""),"",IF(J38&lt;=0,"Paid",IF(Settings!$C$6&gt;=F38+Settings!$P$18,"E",IF(Settings!$C$6&gt;=F38+Settings!$P$17,"D",IF(Settings!$C$6&gt;=F38+Settings!$P$16,"C",IF(Settings!$C$6&gt;=F38+Settings!$P$15,"B",IF(Settings!$C$6&gt;=F38+Settings!$P$14,"A","—")))))))</f>
        <v/>
      </c>
      <c r="N38" s="28" t="str">
        <f aca="false">IF(OR(G38="",F38="",J38&lt;=0),"",IF(Settings!$C$6&lt;F38+Settings!$P$14,F38+Settings!$P$14,IF(Settings!$C$6&lt;F38+Settings!$P$15,F38+Settings!$P$15,IF(Settings!$C$6&lt;F38+Settings!$P$16,F38+Settings!$P$16,IF(Settings!$C$6&lt;F38+Settings!$P$17,F38+Settings!$P$17,IF(Settings!$C$6&lt;F38+Settings!$P$18,F38+Settings!$P$18,""))))))</f>
        <v/>
      </c>
      <c r="O38" s="22"/>
      <c r="P38" s="26"/>
      <c r="Q38" s="21" t="str">
        <f aca="false">IF(OR(M38="",M38="Paid",M38="—"),IF(M38="Paid","Paid ✓",""),IF(O38="","Send "&amp;M38&amp;" now",IF(CODE(M38)&gt;CODE(O38),"Send "&amp;M38&amp;" now","Up to date")))</f>
        <v/>
      </c>
      <c r="R38" s="22"/>
      <c r="S38" s="29" t="n">
        <f aca="false">IF(LEFT(Q38,4)="Send",1,0)</f>
        <v>0</v>
      </c>
      <c r="T38" s="29" t="str">
        <f aca="false">IF(S38=0,"",COUNTIFS($S$5:$S$204,1,$F$5:$F$204,"&lt;"&amp;F38)+COUNTIFS($S$5:$S38,1,$F$5:$F38,F38))</f>
        <v/>
      </c>
    </row>
    <row r="39" customFormat="false" ht="15" hidden="false" customHeight="false" outlineLevel="0" collapsed="false">
      <c r="A39" s="22"/>
      <c r="B39" s="22"/>
      <c r="C39" s="22"/>
      <c r="D39" s="26"/>
      <c r="E39" s="22"/>
      <c r="F39" s="28" t="str">
        <f aca="false">IF(D39="","",D39+IF(E39="",Settings!$C$7,E39))</f>
        <v/>
      </c>
      <c r="G39" s="23"/>
      <c r="H39" s="23"/>
      <c r="I39" s="26"/>
      <c r="J39" s="25" t="str">
        <f aca="false">IF(G39="","",G39-N(H39))</f>
        <v/>
      </c>
      <c r="K39" s="21" t="str">
        <f aca="false">IF(OR(G39="",F39=""),"",IF(J39&lt;=0,"Paid",IF(Settings!$C$6&lt;F39,IF(N(H39)&gt;0,"Part-paid","Not due"),IF(Settings!$C$6=F39,"Due today","Overdue"))))</f>
        <v/>
      </c>
      <c r="L39" s="27" t="str">
        <f aca="false">IF(OR(G39="",F39=""),"",IF(J39&lt;=0,"",MAX(0,Settings!$C$6-F39)))</f>
        <v/>
      </c>
      <c r="M39" s="31" t="str">
        <f aca="false">IF(OR(G39="",F39=""),"",IF(J39&lt;=0,"Paid",IF(Settings!$C$6&gt;=F39+Settings!$P$18,"E",IF(Settings!$C$6&gt;=F39+Settings!$P$17,"D",IF(Settings!$C$6&gt;=F39+Settings!$P$16,"C",IF(Settings!$C$6&gt;=F39+Settings!$P$15,"B",IF(Settings!$C$6&gt;=F39+Settings!$P$14,"A","—")))))))</f>
        <v/>
      </c>
      <c r="N39" s="28" t="str">
        <f aca="false">IF(OR(G39="",F39="",J39&lt;=0),"",IF(Settings!$C$6&lt;F39+Settings!$P$14,F39+Settings!$P$14,IF(Settings!$C$6&lt;F39+Settings!$P$15,F39+Settings!$P$15,IF(Settings!$C$6&lt;F39+Settings!$P$16,F39+Settings!$P$16,IF(Settings!$C$6&lt;F39+Settings!$P$17,F39+Settings!$P$17,IF(Settings!$C$6&lt;F39+Settings!$P$18,F39+Settings!$P$18,""))))))</f>
        <v/>
      </c>
      <c r="O39" s="22"/>
      <c r="P39" s="26"/>
      <c r="Q39" s="21" t="str">
        <f aca="false">IF(OR(M39="",M39="Paid",M39="—"),IF(M39="Paid","Paid ✓",""),IF(O39="","Send "&amp;M39&amp;" now",IF(CODE(M39)&gt;CODE(O39),"Send "&amp;M39&amp;" now","Up to date")))</f>
        <v/>
      </c>
      <c r="R39" s="22"/>
      <c r="S39" s="29" t="n">
        <f aca="false">IF(LEFT(Q39,4)="Send",1,0)</f>
        <v>0</v>
      </c>
      <c r="T39" s="29" t="str">
        <f aca="false">IF(S39=0,"",COUNTIFS($S$5:$S$204,1,$F$5:$F$204,"&lt;"&amp;F39)+COUNTIFS($S$5:$S39,1,$F$5:$F39,F39))</f>
        <v/>
      </c>
    </row>
    <row r="40" customFormat="false" ht="15" hidden="false" customHeight="false" outlineLevel="0" collapsed="false">
      <c r="A40" s="22"/>
      <c r="B40" s="22"/>
      <c r="C40" s="22"/>
      <c r="D40" s="26"/>
      <c r="E40" s="22"/>
      <c r="F40" s="28" t="str">
        <f aca="false">IF(D40="","",D40+IF(E40="",Settings!$C$7,E40))</f>
        <v/>
      </c>
      <c r="G40" s="23"/>
      <c r="H40" s="23"/>
      <c r="I40" s="26"/>
      <c r="J40" s="25" t="str">
        <f aca="false">IF(G40="","",G40-N(H40))</f>
        <v/>
      </c>
      <c r="K40" s="21" t="str">
        <f aca="false">IF(OR(G40="",F40=""),"",IF(J40&lt;=0,"Paid",IF(Settings!$C$6&lt;F40,IF(N(H40)&gt;0,"Part-paid","Not due"),IF(Settings!$C$6=F40,"Due today","Overdue"))))</f>
        <v/>
      </c>
      <c r="L40" s="27" t="str">
        <f aca="false">IF(OR(G40="",F40=""),"",IF(J40&lt;=0,"",MAX(0,Settings!$C$6-F40)))</f>
        <v/>
      </c>
      <c r="M40" s="31" t="str">
        <f aca="false">IF(OR(G40="",F40=""),"",IF(J40&lt;=0,"Paid",IF(Settings!$C$6&gt;=F40+Settings!$P$18,"E",IF(Settings!$C$6&gt;=F40+Settings!$P$17,"D",IF(Settings!$C$6&gt;=F40+Settings!$P$16,"C",IF(Settings!$C$6&gt;=F40+Settings!$P$15,"B",IF(Settings!$C$6&gt;=F40+Settings!$P$14,"A","—")))))))</f>
        <v/>
      </c>
      <c r="N40" s="28" t="str">
        <f aca="false">IF(OR(G40="",F40="",J40&lt;=0),"",IF(Settings!$C$6&lt;F40+Settings!$P$14,F40+Settings!$P$14,IF(Settings!$C$6&lt;F40+Settings!$P$15,F40+Settings!$P$15,IF(Settings!$C$6&lt;F40+Settings!$P$16,F40+Settings!$P$16,IF(Settings!$C$6&lt;F40+Settings!$P$17,F40+Settings!$P$17,IF(Settings!$C$6&lt;F40+Settings!$P$18,F40+Settings!$P$18,""))))))</f>
        <v/>
      </c>
      <c r="O40" s="22"/>
      <c r="P40" s="26"/>
      <c r="Q40" s="21" t="str">
        <f aca="false">IF(OR(M40="",M40="Paid",M40="—"),IF(M40="Paid","Paid ✓",""),IF(O40="","Send "&amp;M40&amp;" now",IF(CODE(M40)&gt;CODE(O40),"Send "&amp;M40&amp;" now","Up to date")))</f>
        <v/>
      </c>
      <c r="R40" s="22"/>
      <c r="S40" s="29" t="n">
        <f aca="false">IF(LEFT(Q40,4)="Send",1,0)</f>
        <v>0</v>
      </c>
      <c r="T40" s="29" t="str">
        <f aca="false">IF(S40=0,"",COUNTIFS($S$5:$S$204,1,$F$5:$F$204,"&lt;"&amp;F40)+COUNTIFS($S$5:$S40,1,$F$5:$F40,F40))</f>
        <v/>
      </c>
    </row>
    <row r="41" customFormat="false" ht="15" hidden="false" customHeight="false" outlineLevel="0" collapsed="false">
      <c r="A41" s="22"/>
      <c r="B41" s="22"/>
      <c r="C41" s="22"/>
      <c r="D41" s="26"/>
      <c r="E41" s="22"/>
      <c r="F41" s="28" t="str">
        <f aca="false">IF(D41="","",D41+IF(E41="",Settings!$C$7,E41))</f>
        <v/>
      </c>
      <c r="G41" s="23"/>
      <c r="H41" s="23"/>
      <c r="I41" s="26"/>
      <c r="J41" s="25" t="str">
        <f aca="false">IF(G41="","",G41-N(H41))</f>
        <v/>
      </c>
      <c r="K41" s="21" t="str">
        <f aca="false">IF(OR(G41="",F41=""),"",IF(J41&lt;=0,"Paid",IF(Settings!$C$6&lt;F41,IF(N(H41)&gt;0,"Part-paid","Not due"),IF(Settings!$C$6=F41,"Due today","Overdue"))))</f>
        <v/>
      </c>
      <c r="L41" s="27" t="str">
        <f aca="false">IF(OR(G41="",F41=""),"",IF(J41&lt;=0,"",MAX(0,Settings!$C$6-F41)))</f>
        <v/>
      </c>
      <c r="M41" s="31" t="str">
        <f aca="false">IF(OR(G41="",F41=""),"",IF(J41&lt;=0,"Paid",IF(Settings!$C$6&gt;=F41+Settings!$P$18,"E",IF(Settings!$C$6&gt;=F41+Settings!$P$17,"D",IF(Settings!$C$6&gt;=F41+Settings!$P$16,"C",IF(Settings!$C$6&gt;=F41+Settings!$P$15,"B",IF(Settings!$C$6&gt;=F41+Settings!$P$14,"A","—")))))))</f>
        <v/>
      </c>
      <c r="N41" s="28" t="str">
        <f aca="false">IF(OR(G41="",F41="",J41&lt;=0),"",IF(Settings!$C$6&lt;F41+Settings!$P$14,F41+Settings!$P$14,IF(Settings!$C$6&lt;F41+Settings!$P$15,F41+Settings!$P$15,IF(Settings!$C$6&lt;F41+Settings!$P$16,F41+Settings!$P$16,IF(Settings!$C$6&lt;F41+Settings!$P$17,F41+Settings!$P$17,IF(Settings!$C$6&lt;F41+Settings!$P$18,F41+Settings!$P$18,""))))))</f>
        <v/>
      </c>
      <c r="O41" s="22"/>
      <c r="P41" s="26"/>
      <c r="Q41" s="21" t="str">
        <f aca="false">IF(OR(M41="",M41="Paid",M41="—"),IF(M41="Paid","Paid ✓",""),IF(O41="","Send "&amp;M41&amp;" now",IF(CODE(M41)&gt;CODE(O41),"Send "&amp;M41&amp;" now","Up to date")))</f>
        <v/>
      </c>
      <c r="R41" s="22"/>
      <c r="S41" s="29" t="n">
        <f aca="false">IF(LEFT(Q41,4)="Send",1,0)</f>
        <v>0</v>
      </c>
      <c r="T41" s="29" t="str">
        <f aca="false">IF(S41=0,"",COUNTIFS($S$5:$S$204,1,$F$5:$F$204,"&lt;"&amp;F41)+COUNTIFS($S$5:$S41,1,$F$5:$F41,F41))</f>
        <v/>
      </c>
    </row>
    <row r="42" customFormat="false" ht="15" hidden="false" customHeight="false" outlineLevel="0" collapsed="false">
      <c r="A42" s="22"/>
      <c r="B42" s="22"/>
      <c r="C42" s="22"/>
      <c r="D42" s="26"/>
      <c r="E42" s="22"/>
      <c r="F42" s="28" t="str">
        <f aca="false">IF(D42="","",D42+IF(E42="",Settings!$C$7,E42))</f>
        <v/>
      </c>
      <c r="G42" s="23"/>
      <c r="H42" s="23"/>
      <c r="I42" s="26"/>
      <c r="J42" s="25" t="str">
        <f aca="false">IF(G42="","",G42-N(H42))</f>
        <v/>
      </c>
      <c r="K42" s="21" t="str">
        <f aca="false">IF(OR(G42="",F42=""),"",IF(J42&lt;=0,"Paid",IF(Settings!$C$6&lt;F42,IF(N(H42)&gt;0,"Part-paid","Not due"),IF(Settings!$C$6=F42,"Due today","Overdue"))))</f>
        <v/>
      </c>
      <c r="L42" s="27" t="str">
        <f aca="false">IF(OR(G42="",F42=""),"",IF(J42&lt;=0,"",MAX(0,Settings!$C$6-F42)))</f>
        <v/>
      </c>
      <c r="M42" s="31" t="str">
        <f aca="false">IF(OR(G42="",F42=""),"",IF(J42&lt;=0,"Paid",IF(Settings!$C$6&gt;=F42+Settings!$P$18,"E",IF(Settings!$C$6&gt;=F42+Settings!$P$17,"D",IF(Settings!$C$6&gt;=F42+Settings!$P$16,"C",IF(Settings!$C$6&gt;=F42+Settings!$P$15,"B",IF(Settings!$C$6&gt;=F42+Settings!$P$14,"A","—")))))))</f>
        <v/>
      </c>
      <c r="N42" s="28" t="str">
        <f aca="false">IF(OR(G42="",F42="",J42&lt;=0),"",IF(Settings!$C$6&lt;F42+Settings!$P$14,F42+Settings!$P$14,IF(Settings!$C$6&lt;F42+Settings!$P$15,F42+Settings!$P$15,IF(Settings!$C$6&lt;F42+Settings!$P$16,F42+Settings!$P$16,IF(Settings!$C$6&lt;F42+Settings!$P$17,F42+Settings!$P$17,IF(Settings!$C$6&lt;F42+Settings!$P$18,F42+Settings!$P$18,""))))))</f>
        <v/>
      </c>
      <c r="O42" s="22"/>
      <c r="P42" s="26"/>
      <c r="Q42" s="21" t="str">
        <f aca="false">IF(OR(M42="",M42="Paid",M42="—"),IF(M42="Paid","Paid ✓",""),IF(O42="","Send "&amp;M42&amp;" now",IF(CODE(M42)&gt;CODE(O42),"Send "&amp;M42&amp;" now","Up to date")))</f>
        <v/>
      </c>
      <c r="R42" s="22"/>
      <c r="S42" s="29" t="n">
        <f aca="false">IF(LEFT(Q42,4)="Send",1,0)</f>
        <v>0</v>
      </c>
      <c r="T42" s="29" t="str">
        <f aca="false">IF(S42=0,"",COUNTIFS($S$5:$S$204,1,$F$5:$F$204,"&lt;"&amp;F42)+COUNTIFS($S$5:$S42,1,$F$5:$F42,F42))</f>
        <v/>
      </c>
    </row>
    <row r="43" customFormat="false" ht="15" hidden="false" customHeight="false" outlineLevel="0" collapsed="false">
      <c r="A43" s="22"/>
      <c r="B43" s="22"/>
      <c r="C43" s="22"/>
      <c r="D43" s="26"/>
      <c r="E43" s="22"/>
      <c r="F43" s="28" t="str">
        <f aca="false">IF(D43="","",D43+IF(E43="",Settings!$C$7,E43))</f>
        <v/>
      </c>
      <c r="G43" s="23"/>
      <c r="H43" s="23"/>
      <c r="I43" s="26"/>
      <c r="J43" s="25" t="str">
        <f aca="false">IF(G43="","",G43-N(H43))</f>
        <v/>
      </c>
      <c r="K43" s="21" t="str">
        <f aca="false">IF(OR(G43="",F43=""),"",IF(J43&lt;=0,"Paid",IF(Settings!$C$6&lt;F43,IF(N(H43)&gt;0,"Part-paid","Not due"),IF(Settings!$C$6=F43,"Due today","Overdue"))))</f>
        <v/>
      </c>
      <c r="L43" s="27" t="str">
        <f aca="false">IF(OR(G43="",F43=""),"",IF(J43&lt;=0,"",MAX(0,Settings!$C$6-F43)))</f>
        <v/>
      </c>
      <c r="M43" s="31" t="str">
        <f aca="false">IF(OR(G43="",F43=""),"",IF(J43&lt;=0,"Paid",IF(Settings!$C$6&gt;=F43+Settings!$P$18,"E",IF(Settings!$C$6&gt;=F43+Settings!$P$17,"D",IF(Settings!$C$6&gt;=F43+Settings!$P$16,"C",IF(Settings!$C$6&gt;=F43+Settings!$P$15,"B",IF(Settings!$C$6&gt;=F43+Settings!$P$14,"A","—")))))))</f>
        <v/>
      </c>
      <c r="N43" s="28" t="str">
        <f aca="false">IF(OR(G43="",F43="",J43&lt;=0),"",IF(Settings!$C$6&lt;F43+Settings!$P$14,F43+Settings!$P$14,IF(Settings!$C$6&lt;F43+Settings!$P$15,F43+Settings!$P$15,IF(Settings!$C$6&lt;F43+Settings!$P$16,F43+Settings!$P$16,IF(Settings!$C$6&lt;F43+Settings!$P$17,F43+Settings!$P$17,IF(Settings!$C$6&lt;F43+Settings!$P$18,F43+Settings!$P$18,""))))))</f>
        <v/>
      </c>
      <c r="O43" s="22"/>
      <c r="P43" s="26"/>
      <c r="Q43" s="21" t="str">
        <f aca="false">IF(OR(M43="",M43="Paid",M43="—"),IF(M43="Paid","Paid ✓",""),IF(O43="","Send "&amp;M43&amp;" now",IF(CODE(M43)&gt;CODE(O43),"Send "&amp;M43&amp;" now","Up to date")))</f>
        <v/>
      </c>
      <c r="R43" s="22"/>
      <c r="S43" s="29" t="n">
        <f aca="false">IF(LEFT(Q43,4)="Send",1,0)</f>
        <v>0</v>
      </c>
      <c r="T43" s="29" t="str">
        <f aca="false">IF(S43=0,"",COUNTIFS($S$5:$S$204,1,$F$5:$F$204,"&lt;"&amp;F43)+COUNTIFS($S$5:$S43,1,$F$5:$F43,F43))</f>
        <v/>
      </c>
    </row>
    <row r="44" customFormat="false" ht="15" hidden="false" customHeight="false" outlineLevel="0" collapsed="false">
      <c r="A44" s="22"/>
      <c r="B44" s="22"/>
      <c r="C44" s="22"/>
      <c r="D44" s="26"/>
      <c r="E44" s="22"/>
      <c r="F44" s="28" t="str">
        <f aca="false">IF(D44="","",D44+IF(E44="",Settings!$C$7,E44))</f>
        <v/>
      </c>
      <c r="G44" s="23"/>
      <c r="H44" s="23"/>
      <c r="I44" s="26"/>
      <c r="J44" s="25" t="str">
        <f aca="false">IF(G44="","",G44-N(H44))</f>
        <v/>
      </c>
      <c r="K44" s="21" t="str">
        <f aca="false">IF(OR(G44="",F44=""),"",IF(J44&lt;=0,"Paid",IF(Settings!$C$6&lt;F44,IF(N(H44)&gt;0,"Part-paid","Not due"),IF(Settings!$C$6=F44,"Due today","Overdue"))))</f>
        <v/>
      </c>
      <c r="L44" s="27" t="str">
        <f aca="false">IF(OR(G44="",F44=""),"",IF(J44&lt;=0,"",MAX(0,Settings!$C$6-F44)))</f>
        <v/>
      </c>
      <c r="M44" s="31" t="str">
        <f aca="false">IF(OR(G44="",F44=""),"",IF(J44&lt;=0,"Paid",IF(Settings!$C$6&gt;=F44+Settings!$P$18,"E",IF(Settings!$C$6&gt;=F44+Settings!$P$17,"D",IF(Settings!$C$6&gt;=F44+Settings!$P$16,"C",IF(Settings!$C$6&gt;=F44+Settings!$P$15,"B",IF(Settings!$C$6&gt;=F44+Settings!$P$14,"A","—")))))))</f>
        <v/>
      </c>
      <c r="N44" s="28" t="str">
        <f aca="false">IF(OR(G44="",F44="",J44&lt;=0),"",IF(Settings!$C$6&lt;F44+Settings!$P$14,F44+Settings!$P$14,IF(Settings!$C$6&lt;F44+Settings!$P$15,F44+Settings!$P$15,IF(Settings!$C$6&lt;F44+Settings!$P$16,F44+Settings!$P$16,IF(Settings!$C$6&lt;F44+Settings!$P$17,F44+Settings!$P$17,IF(Settings!$C$6&lt;F44+Settings!$P$18,F44+Settings!$P$18,""))))))</f>
        <v/>
      </c>
      <c r="O44" s="22"/>
      <c r="P44" s="26"/>
      <c r="Q44" s="21" t="str">
        <f aca="false">IF(OR(M44="",M44="Paid",M44="—"),IF(M44="Paid","Paid ✓",""),IF(O44="","Send "&amp;M44&amp;" now",IF(CODE(M44)&gt;CODE(O44),"Send "&amp;M44&amp;" now","Up to date")))</f>
        <v/>
      </c>
      <c r="R44" s="22"/>
      <c r="S44" s="29" t="n">
        <f aca="false">IF(LEFT(Q44,4)="Send",1,0)</f>
        <v>0</v>
      </c>
      <c r="T44" s="29" t="str">
        <f aca="false">IF(S44=0,"",COUNTIFS($S$5:$S$204,1,$F$5:$F$204,"&lt;"&amp;F44)+COUNTIFS($S$5:$S44,1,$F$5:$F44,F44))</f>
        <v/>
      </c>
    </row>
    <row r="45" customFormat="false" ht="15" hidden="false" customHeight="false" outlineLevel="0" collapsed="false">
      <c r="A45" s="22"/>
      <c r="B45" s="22"/>
      <c r="C45" s="22"/>
      <c r="D45" s="26"/>
      <c r="E45" s="22"/>
      <c r="F45" s="28" t="str">
        <f aca="false">IF(D45="","",D45+IF(E45="",Settings!$C$7,E45))</f>
        <v/>
      </c>
      <c r="G45" s="23"/>
      <c r="H45" s="23"/>
      <c r="I45" s="26"/>
      <c r="J45" s="25" t="str">
        <f aca="false">IF(G45="","",G45-N(H45))</f>
        <v/>
      </c>
      <c r="K45" s="21" t="str">
        <f aca="false">IF(OR(G45="",F45=""),"",IF(J45&lt;=0,"Paid",IF(Settings!$C$6&lt;F45,IF(N(H45)&gt;0,"Part-paid","Not due"),IF(Settings!$C$6=F45,"Due today","Overdue"))))</f>
        <v/>
      </c>
      <c r="L45" s="27" t="str">
        <f aca="false">IF(OR(G45="",F45=""),"",IF(J45&lt;=0,"",MAX(0,Settings!$C$6-F45)))</f>
        <v/>
      </c>
      <c r="M45" s="31" t="str">
        <f aca="false">IF(OR(G45="",F45=""),"",IF(J45&lt;=0,"Paid",IF(Settings!$C$6&gt;=F45+Settings!$P$18,"E",IF(Settings!$C$6&gt;=F45+Settings!$P$17,"D",IF(Settings!$C$6&gt;=F45+Settings!$P$16,"C",IF(Settings!$C$6&gt;=F45+Settings!$P$15,"B",IF(Settings!$C$6&gt;=F45+Settings!$P$14,"A","—")))))))</f>
        <v/>
      </c>
      <c r="N45" s="28" t="str">
        <f aca="false">IF(OR(G45="",F45="",J45&lt;=0),"",IF(Settings!$C$6&lt;F45+Settings!$P$14,F45+Settings!$P$14,IF(Settings!$C$6&lt;F45+Settings!$P$15,F45+Settings!$P$15,IF(Settings!$C$6&lt;F45+Settings!$P$16,F45+Settings!$P$16,IF(Settings!$C$6&lt;F45+Settings!$P$17,F45+Settings!$P$17,IF(Settings!$C$6&lt;F45+Settings!$P$18,F45+Settings!$P$18,""))))))</f>
        <v/>
      </c>
      <c r="O45" s="22"/>
      <c r="P45" s="26"/>
      <c r="Q45" s="21" t="str">
        <f aca="false">IF(OR(M45="",M45="Paid",M45="—"),IF(M45="Paid","Paid ✓",""),IF(O45="","Send "&amp;M45&amp;" now",IF(CODE(M45)&gt;CODE(O45),"Send "&amp;M45&amp;" now","Up to date")))</f>
        <v/>
      </c>
      <c r="R45" s="22"/>
      <c r="S45" s="29" t="n">
        <f aca="false">IF(LEFT(Q45,4)="Send",1,0)</f>
        <v>0</v>
      </c>
      <c r="T45" s="29" t="str">
        <f aca="false">IF(S45=0,"",COUNTIFS($S$5:$S$204,1,$F$5:$F$204,"&lt;"&amp;F45)+COUNTIFS($S$5:$S45,1,$F$5:$F45,F45))</f>
        <v/>
      </c>
    </row>
    <row r="46" customFormat="false" ht="15" hidden="false" customHeight="false" outlineLevel="0" collapsed="false">
      <c r="A46" s="22"/>
      <c r="B46" s="22"/>
      <c r="C46" s="22"/>
      <c r="D46" s="26"/>
      <c r="E46" s="22"/>
      <c r="F46" s="28" t="str">
        <f aca="false">IF(D46="","",D46+IF(E46="",Settings!$C$7,E46))</f>
        <v/>
      </c>
      <c r="G46" s="23"/>
      <c r="H46" s="23"/>
      <c r="I46" s="26"/>
      <c r="J46" s="25" t="str">
        <f aca="false">IF(G46="","",G46-N(H46))</f>
        <v/>
      </c>
      <c r="K46" s="21" t="str">
        <f aca="false">IF(OR(G46="",F46=""),"",IF(J46&lt;=0,"Paid",IF(Settings!$C$6&lt;F46,IF(N(H46)&gt;0,"Part-paid","Not due"),IF(Settings!$C$6=F46,"Due today","Overdue"))))</f>
        <v/>
      </c>
      <c r="L46" s="27" t="str">
        <f aca="false">IF(OR(G46="",F46=""),"",IF(J46&lt;=0,"",MAX(0,Settings!$C$6-F46)))</f>
        <v/>
      </c>
      <c r="M46" s="31" t="str">
        <f aca="false">IF(OR(G46="",F46=""),"",IF(J46&lt;=0,"Paid",IF(Settings!$C$6&gt;=F46+Settings!$P$18,"E",IF(Settings!$C$6&gt;=F46+Settings!$P$17,"D",IF(Settings!$C$6&gt;=F46+Settings!$P$16,"C",IF(Settings!$C$6&gt;=F46+Settings!$P$15,"B",IF(Settings!$C$6&gt;=F46+Settings!$P$14,"A","—")))))))</f>
        <v/>
      </c>
      <c r="N46" s="28" t="str">
        <f aca="false">IF(OR(G46="",F46="",J46&lt;=0),"",IF(Settings!$C$6&lt;F46+Settings!$P$14,F46+Settings!$P$14,IF(Settings!$C$6&lt;F46+Settings!$P$15,F46+Settings!$P$15,IF(Settings!$C$6&lt;F46+Settings!$P$16,F46+Settings!$P$16,IF(Settings!$C$6&lt;F46+Settings!$P$17,F46+Settings!$P$17,IF(Settings!$C$6&lt;F46+Settings!$P$18,F46+Settings!$P$18,""))))))</f>
        <v/>
      </c>
      <c r="O46" s="22"/>
      <c r="P46" s="26"/>
      <c r="Q46" s="21" t="str">
        <f aca="false">IF(OR(M46="",M46="Paid",M46="—"),IF(M46="Paid","Paid ✓",""),IF(O46="","Send "&amp;M46&amp;" now",IF(CODE(M46)&gt;CODE(O46),"Send "&amp;M46&amp;" now","Up to date")))</f>
        <v/>
      </c>
      <c r="R46" s="22"/>
      <c r="S46" s="29" t="n">
        <f aca="false">IF(LEFT(Q46,4)="Send",1,0)</f>
        <v>0</v>
      </c>
      <c r="T46" s="29" t="str">
        <f aca="false">IF(S46=0,"",COUNTIFS($S$5:$S$204,1,$F$5:$F$204,"&lt;"&amp;F46)+COUNTIFS($S$5:$S46,1,$F$5:$F46,F46))</f>
        <v/>
      </c>
    </row>
    <row r="47" customFormat="false" ht="15" hidden="false" customHeight="false" outlineLevel="0" collapsed="false">
      <c r="A47" s="22"/>
      <c r="B47" s="22"/>
      <c r="C47" s="22"/>
      <c r="D47" s="26"/>
      <c r="E47" s="22"/>
      <c r="F47" s="28" t="str">
        <f aca="false">IF(D47="","",D47+IF(E47="",Settings!$C$7,E47))</f>
        <v/>
      </c>
      <c r="G47" s="23"/>
      <c r="H47" s="23"/>
      <c r="I47" s="26"/>
      <c r="J47" s="25" t="str">
        <f aca="false">IF(G47="","",G47-N(H47))</f>
        <v/>
      </c>
      <c r="K47" s="21" t="str">
        <f aca="false">IF(OR(G47="",F47=""),"",IF(J47&lt;=0,"Paid",IF(Settings!$C$6&lt;F47,IF(N(H47)&gt;0,"Part-paid","Not due"),IF(Settings!$C$6=F47,"Due today","Overdue"))))</f>
        <v/>
      </c>
      <c r="L47" s="27" t="str">
        <f aca="false">IF(OR(G47="",F47=""),"",IF(J47&lt;=0,"",MAX(0,Settings!$C$6-F47)))</f>
        <v/>
      </c>
      <c r="M47" s="31" t="str">
        <f aca="false">IF(OR(G47="",F47=""),"",IF(J47&lt;=0,"Paid",IF(Settings!$C$6&gt;=F47+Settings!$P$18,"E",IF(Settings!$C$6&gt;=F47+Settings!$P$17,"D",IF(Settings!$C$6&gt;=F47+Settings!$P$16,"C",IF(Settings!$C$6&gt;=F47+Settings!$P$15,"B",IF(Settings!$C$6&gt;=F47+Settings!$P$14,"A","—")))))))</f>
        <v/>
      </c>
      <c r="N47" s="28" t="str">
        <f aca="false">IF(OR(G47="",F47="",J47&lt;=0),"",IF(Settings!$C$6&lt;F47+Settings!$P$14,F47+Settings!$P$14,IF(Settings!$C$6&lt;F47+Settings!$P$15,F47+Settings!$P$15,IF(Settings!$C$6&lt;F47+Settings!$P$16,F47+Settings!$P$16,IF(Settings!$C$6&lt;F47+Settings!$P$17,F47+Settings!$P$17,IF(Settings!$C$6&lt;F47+Settings!$P$18,F47+Settings!$P$18,""))))))</f>
        <v/>
      </c>
      <c r="O47" s="22"/>
      <c r="P47" s="26"/>
      <c r="Q47" s="21" t="str">
        <f aca="false">IF(OR(M47="",M47="Paid",M47="—"),IF(M47="Paid","Paid ✓",""),IF(O47="","Send "&amp;M47&amp;" now",IF(CODE(M47)&gt;CODE(O47),"Send "&amp;M47&amp;" now","Up to date")))</f>
        <v/>
      </c>
      <c r="R47" s="22"/>
      <c r="S47" s="29" t="n">
        <f aca="false">IF(LEFT(Q47,4)="Send",1,0)</f>
        <v>0</v>
      </c>
      <c r="T47" s="29" t="str">
        <f aca="false">IF(S47=0,"",COUNTIFS($S$5:$S$204,1,$F$5:$F$204,"&lt;"&amp;F47)+COUNTIFS($S$5:$S47,1,$F$5:$F47,F47))</f>
        <v/>
      </c>
    </row>
    <row r="48" customFormat="false" ht="15" hidden="false" customHeight="false" outlineLevel="0" collapsed="false">
      <c r="A48" s="22"/>
      <c r="B48" s="22"/>
      <c r="C48" s="22"/>
      <c r="D48" s="26"/>
      <c r="E48" s="22"/>
      <c r="F48" s="28" t="str">
        <f aca="false">IF(D48="","",D48+IF(E48="",Settings!$C$7,E48))</f>
        <v/>
      </c>
      <c r="G48" s="23"/>
      <c r="H48" s="23"/>
      <c r="I48" s="26"/>
      <c r="J48" s="25" t="str">
        <f aca="false">IF(G48="","",G48-N(H48))</f>
        <v/>
      </c>
      <c r="K48" s="21" t="str">
        <f aca="false">IF(OR(G48="",F48=""),"",IF(J48&lt;=0,"Paid",IF(Settings!$C$6&lt;F48,IF(N(H48)&gt;0,"Part-paid","Not due"),IF(Settings!$C$6=F48,"Due today","Overdue"))))</f>
        <v/>
      </c>
      <c r="L48" s="27" t="str">
        <f aca="false">IF(OR(G48="",F48=""),"",IF(J48&lt;=0,"",MAX(0,Settings!$C$6-F48)))</f>
        <v/>
      </c>
      <c r="M48" s="31" t="str">
        <f aca="false">IF(OR(G48="",F48=""),"",IF(J48&lt;=0,"Paid",IF(Settings!$C$6&gt;=F48+Settings!$P$18,"E",IF(Settings!$C$6&gt;=F48+Settings!$P$17,"D",IF(Settings!$C$6&gt;=F48+Settings!$P$16,"C",IF(Settings!$C$6&gt;=F48+Settings!$P$15,"B",IF(Settings!$C$6&gt;=F48+Settings!$P$14,"A","—")))))))</f>
        <v/>
      </c>
      <c r="N48" s="28" t="str">
        <f aca="false">IF(OR(G48="",F48="",J48&lt;=0),"",IF(Settings!$C$6&lt;F48+Settings!$P$14,F48+Settings!$P$14,IF(Settings!$C$6&lt;F48+Settings!$P$15,F48+Settings!$P$15,IF(Settings!$C$6&lt;F48+Settings!$P$16,F48+Settings!$P$16,IF(Settings!$C$6&lt;F48+Settings!$P$17,F48+Settings!$P$17,IF(Settings!$C$6&lt;F48+Settings!$P$18,F48+Settings!$P$18,""))))))</f>
        <v/>
      </c>
      <c r="O48" s="22"/>
      <c r="P48" s="26"/>
      <c r="Q48" s="21" t="str">
        <f aca="false">IF(OR(M48="",M48="Paid",M48="—"),IF(M48="Paid","Paid ✓",""),IF(O48="","Send "&amp;M48&amp;" now",IF(CODE(M48)&gt;CODE(O48),"Send "&amp;M48&amp;" now","Up to date")))</f>
        <v/>
      </c>
      <c r="R48" s="22"/>
      <c r="S48" s="29" t="n">
        <f aca="false">IF(LEFT(Q48,4)="Send",1,0)</f>
        <v>0</v>
      </c>
      <c r="T48" s="29" t="str">
        <f aca="false">IF(S48=0,"",COUNTIFS($S$5:$S$204,1,$F$5:$F$204,"&lt;"&amp;F48)+COUNTIFS($S$5:$S48,1,$F$5:$F48,F48))</f>
        <v/>
      </c>
    </row>
    <row r="49" customFormat="false" ht="15" hidden="false" customHeight="false" outlineLevel="0" collapsed="false">
      <c r="A49" s="22"/>
      <c r="B49" s="22"/>
      <c r="C49" s="22"/>
      <c r="D49" s="26"/>
      <c r="E49" s="22"/>
      <c r="F49" s="28" t="str">
        <f aca="false">IF(D49="","",D49+IF(E49="",Settings!$C$7,E49))</f>
        <v/>
      </c>
      <c r="G49" s="23"/>
      <c r="H49" s="23"/>
      <c r="I49" s="26"/>
      <c r="J49" s="25" t="str">
        <f aca="false">IF(G49="","",G49-N(H49))</f>
        <v/>
      </c>
      <c r="K49" s="21" t="str">
        <f aca="false">IF(OR(G49="",F49=""),"",IF(J49&lt;=0,"Paid",IF(Settings!$C$6&lt;F49,IF(N(H49)&gt;0,"Part-paid","Not due"),IF(Settings!$C$6=F49,"Due today","Overdue"))))</f>
        <v/>
      </c>
      <c r="L49" s="27" t="str">
        <f aca="false">IF(OR(G49="",F49=""),"",IF(J49&lt;=0,"",MAX(0,Settings!$C$6-F49)))</f>
        <v/>
      </c>
      <c r="M49" s="31" t="str">
        <f aca="false">IF(OR(G49="",F49=""),"",IF(J49&lt;=0,"Paid",IF(Settings!$C$6&gt;=F49+Settings!$P$18,"E",IF(Settings!$C$6&gt;=F49+Settings!$P$17,"D",IF(Settings!$C$6&gt;=F49+Settings!$P$16,"C",IF(Settings!$C$6&gt;=F49+Settings!$P$15,"B",IF(Settings!$C$6&gt;=F49+Settings!$P$14,"A","—")))))))</f>
        <v/>
      </c>
      <c r="N49" s="28" t="str">
        <f aca="false">IF(OR(G49="",F49="",J49&lt;=0),"",IF(Settings!$C$6&lt;F49+Settings!$P$14,F49+Settings!$P$14,IF(Settings!$C$6&lt;F49+Settings!$P$15,F49+Settings!$P$15,IF(Settings!$C$6&lt;F49+Settings!$P$16,F49+Settings!$P$16,IF(Settings!$C$6&lt;F49+Settings!$P$17,F49+Settings!$P$17,IF(Settings!$C$6&lt;F49+Settings!$P$18,F49+Settings!$P$18,""))))))</f>
        <v/>
      </c>
      <c r="O49" s="22"/>
      <c r="P49" s="26"/>
      <c r="Q49" s="21" t="str">
        <f aca="false">IF(OR(M49="",M49="Paid",M49="—"),IF(M49="Paid","Paid ✓",""),IF(O49="","Send "&amp;M49&amp;" now",IF(CODE(M49)&gt;CODE(O49),"Send "&amp;M49&amp;" now","Up to date")))</f>
        <v/>
      </c>
      <c r="R49" s="22"/>
      <c r="S49" s="29" t="n">
        <f aca="false">IF(LEFT(Q49,4)="Send",1,0)</f>
        <v>0</v>
      </c>
      <c r="T49" s="29" t="str">
        <f aca="false">IF(S49=0,"",COUNTIFS($S$5:$S$204,1,$F$5:$F$204,"&lt;"&amp;F49)+COUNTIFS($S$5:$S49,1,$F$5:$F49,F49))</f>
        <v/>
      </c>
    </row>
    <row r="50" customFormat="false" ht="15" hidden="false" customHeight="false" outlineLevel="0" collapsed="false">
      <c r="A50" s="22"/>
      <c r="B50" s="22"/>
      <c r="C50" s="22"/>
      <c r="D50" s="26"/>
      <c r="E50" s="22"/>
      <c r="F50" s="28" t="str">
        <f aca="false">IF(D50="","",D50+IF(E50="",Settings!$C$7,E50))</f>
        <v/>
      </c>
      <c r="G50" s="23"/>
      <c r="H50" s="23"/>
      <c r="I50" s="26"/>
      <c r="J50" s="25" t="str">
        <f aca="false">IF(G50="","",G50-N(H50))</f>
        <v/>
      </c>
      <c r="K50" s="21" t="str">
        <f aca="false">IF(OR(G50="",F50=""),"",IF(J50&lt;=0,"Paid",IF(Settings!$C$6&lt;F50,IF(N(H50)&gt;0,"Part-paid","Not due"),IF(Settings!$C$6=F50,"Due today","Overdue"))))</f>
        <v/>
      </c>
      <c r="L50" s="27" t="str">
        <f aca="false">IF(OR(G50="",F50=""),"",IF(J50&lt;=0,"",MAX(0,Settings!$C$6-F50)))</f>
        <v/>
      </c>
      <c r="M50" s="31" t="str">
        <f aca="false">IF(OR(G50="",F50=""),"",IF(J50&lt;=0,"Paid",IF(Settings!$C$6&gt;=F50+Settings!$P$18,"E",IF(Settings!$C$6&gt;=F50+Settings!$P$17,"D",IF(Settings!$C$6&gt;=F50+Settings!$P$16,"C",IF(Settings!$C$6&gt;=F50+Settings!$P$15,"B",IF(Settings!$C$6&gt;=F50+Settings!$P$14,"A","—")))))))</f>
        <v/>
      </c>
      <c r="N50" s="28" t="str">
        <f aca="false">IF(OR(G50="",F50="",J50&lt;=0),"",IF(Settings!$C$6&lt;F50+Settings!$P$14,F50+Settings!$P$14,IF(Settings!$C$6&lt;F50+Settings!$P$15,F50+Settings!$P$15,IF(Settings!$C$6&lt;F50+Settings!$P$16,F50+Settings!$P$16,IF(Settings!$C$6&lt;F50+Settings!$P$17,F50+Settings!$P$17,IF(Settings!$C$6&lt;F50+Settings!$P$18,F50+Settings!$P$18,""))))))</f>
        <v/>
      </c>
      <c r="O50" s="22"/>
      <c r="P50" s="26"/>
      <c r="Q50" s="21" t="str">
        <f aca="false">IF(OR(M50="",M50="Paid",M50="—"),IF(M50="Paid","Paid ✓",""),IF(O50="","Send "&amp;M50&amp;" now",IF(CODE(M50)&gt;CODE(O50),"Send "&amp;M50&amp;" now","Up to date")))</f>
        <v/>
      </c>
      <c r="R50" s="22"/>
      <c r="S50" s="29" t="n">
        <f aca="false">IF(LEFT(Q50,4)="Send",1,0)</f>
        <v>0</v>
      </c>
      <c r="T50" s="29" t="str">
        <f aca="false">IF(S50=0,"",COUNTIFS($S$5:$S$204,1,$F$5:$F$204,"&lt;"&amp;F50)+COUNTIFS($S$5:$S50,1,$F$5:$F50,F50))</f>
        <v/>
      </c>
    </row>
    <row r="51" customFormat="false" ht="15" hidden="false" customHeight="false" outlineLevel="0" collapsed="false">
      <c r="A51" s="22"/>
      <c r="B51" s="22"/>
      <c r="C51" s="22"/>
      <c r="D51" s="26"/>
      <c r="E51" s="22"/>
      <c r="F51" s="28" t="str">
        <f aca="false">IF(D51="","",D51+IF(E51="",Settings!$C$7,E51))</f>
        <v/>
      </c>
      <c r="G51" s="23"/>
      <c r="H51" s="23"/>
      <c r="I51" s="26"/>
      <c r="J51" s="25" t="str">
        <f aca="false">IF(G51="","",G51-N(H51))</f>
        <v/>
      </c>
      <c r="K51" s="21" t="str">
        <f aca="false">IF(OR(G51="",F51=""),"",IF(J51&lt;=0,"Paid",IF(Settings!$C$6&lt;F51,IF(N(H51)&gt;0,"Part-paid","Not due"),IF(Settings!$C$6=F51,"Due today","Overdue"))))</f>
        <v/>
      </c>
      <c r="L51" s="27" t="str">
        <f aca="false">IF(OR(G51="",F51=""),"",IF(J51&lt;=0,"",MAX(0,Settings!$C$6-F51)))</f>
        <v/>
      </c>
      <c r="M51" s="31" t="str">
        <f aca="false">IF(OR(G51="",F51=""),"",IF(J51&lt;=0,"Paid",IF(Settings!$C$6&gt;=F51+Settings!$P$18,"E",IF(Settings!$C$6&gt;=F51+Settings!$P$17,"D",IF(Settings!$C$6&gt;=F51+Settings!$P$16,"C",IF(Settings!$C$6&gt;=F51+Settings!$P$15,"B",IF(Settings!$C$6&gt;=F51+Settings!$P$14,"A","—")))))))</f>
        <v/>
      </c>
      <c r="N51" s="28" t="str">
        <f aca="false">IF(OR(G51="",F51="",J51&lt;=0),"",IF(Settings!$C$6&lt;F51+Settings!$P$14,F51+Settings!$P$14,IF(Settings!$C$6&lt;F51+Settings!$P$15,F51+Settings!$P$15,IF(Settings!$C$6&lt;F51+Settings!$P$16,F51+Settings!$P$16,IF(Settings!$C$6&lt;F51+Settings!$P$17,F51+Settings!$P$17,IF(Settings!$C$6&lt;F51+Settings!$P$18,F51+Settings!$P$18,""))))))</f>
        <v/>
      </c>
      <c r="O51" s="22"/>
      <c r="P51" s="26"/>
      <c r="Q51" s="21" t="str">
        <f aca="false">IF(OR(M51="",M51="Paid",M51="—"),IF(M51="Paid","Paid ✓",""),IF(O51="","Send "&amp;M51&amp;" now",IF(CODE(M51)&gt;CODE(O51),"Send "&amp;M51&amp;" now","Up to date")))</f>
        <v/>
      </c>
      <c r="R51" s="22"/>
      <c r="S51" s="29" t="n">
        <f aca="false">IF(LEFT(Q51,4)="Send",1,0)</f>
        <v>0</v>
      </c>
      <c r="T51" s="29" t="str">
        <f aca="false">IF(S51=0,"",COUNTIFS($S$5:$S$204,1,$F$5:$F$204,"&lt;"&amp;F51)+COUNTIFS($S$5:$S51,1,$F$5:$F51,F51))</f>
        <v/>
      </c>
    </row>
    <row r="52" customFormat="false" ht="15" hidden="false" customHeight="false" outlineLevel="0" collapsed="false">
      <c r="A52" s="22"/>
      <c r="B52" s="22"/>
      <c r="C52" s="22"/>
      <c r="D52" s="26"/>
      <c r="E52" s="22"/>
      <c r="F52" s="28" t="str">
        <f aca="false">IF(D52="","",D52+IF(E52="",Settings!$C$7,E52))</f>
        <v/>
      </c>
      <c r="G52" s="23"/>
      <c r="H52" s="23"/>
      <c r="I52" s="26"/>
      <c r="J52" s="25" t="str">
        <f aca="false">IF(G52="","",G52-N(H52))</f>
        <v/>
      </c>
      <c r="K52" s="21" t="str">
        <f aca="false">IF(OR(G52="",F52=""),"",IF(J52&lt;=0,"Paid",IF(Settings!$C$6&lt;F52,IF(N(H52)&gt;0,"Part-paid","Not due"),IF(Settings!$C$6=F52,"Due today","Overdue"))))</f>
        <v/>
      </c>
      <c r="L52" s="27" t="str">
        <f aca="false">IF(OR(G52="",F52=""),"",IF(J52&lt;=0,"",MAX(0,Settings!$C$6-F52)))</f>
        <v/>
      </c>
      <c r="M52" s="31" t="str">
        <f aca="false">IF(OR(G52="",F52=""),"",IF(J52&lt;=0,"Paid",IF(Settings!$C$6&gt;=F52+Settings!$P$18,"E",IF(Settings!$C$6&gt;=F52+Settings!$P$17,"D",IF(Settings!$C$6&gt;=F52+Settings!$P$16,"C",IF(Settings!$C$6&gt;=F52+Settings!$P$15,"B",IF(Settings!$C$6&gt;=F52+Settings!$P$14,"A","—")))))))</f>
        <v/>
      </c>
      <c r="N52" s="28" t="str">
        <f aca="false">IF(OR(G52="",F52="",J52&lt;=0),"",IF(Settings!$C$6&lt;F52+Settings!$P$14,F52+Settings!$P$14,IF(Settings!$C$6&lt;F52+Settings!$P$15,F52+Settings!$P$15,IF(Settings!$C$6&lt;F52+Settings!$P$16,F52+Settings!$P$16,IF(Settings!$C$6&lt;F52+Settings!$P$17,F52+Settings!$P$17,IF(Settings!$C$6&lt;F52+Settings!$P$18,F52+Settings!$P$18,""))))))</f>
        <v/>
      </c>
      <c r="O52" s="22"/>
      <c r="P52" s="26"/>
      <c r="Q52" s="21" t="str">
        <f aca="false">IF(OR(M52="",M52="Paid",M52="—"),IF(M52="Paid","Paid ✓",""),IF(O52="","Send "&amp;M52&amp;" now",IF(CODE(M52)&gt;CODE(O52),"Send "&amp;M52&amp;" now","Up to date")))</f>
        <v/>
      </c>
      <c r="R52" s="22"/>
      <c r="S52" s="29" t="n">
        <f aca="false">IF(LEFT(Q52,4)="Send",1,0)</f>
        <v>0</v>
      </c>
      <c r="T52" s="29" t="str">
        <f aca="false">IF(S52=0,"",COUNTIFS($S$5:$S$204,1,$F$5:$F$204,"&lt;"&amp;F52)+COUNTIFS($S$5:$S52,1,$F$5:$F52,F52))</f>
        <v/>
      </c>
    </row>
    <row r="53" customFormat="false" ht="15" hidden="false" customHeight="false" outlineLevel="0" collapsed="false">
      <c r="A53" s="22"/>
      <c r="B53" s="22"/>
      <c r="C53" s="22"/>
      <c r="D53" s="26"/>
      <c r="E53" s="22"/>
      <c r="F53" s="28" t="str">
        <f aca="false">IF(D53="","",D53+IF(E53="",Settings!$C$7,E53))</f>
        <v/>
      </c>
      <c r="G53" s="23"/>
      <c r="H53" s="23"/>
      <c r="I53" s="26"/>
      <c r="J53" s="25" t="str">
        <f aca="false">IF(G53="","",G53-N(H53))</f>
        <v/>
      </c>
      <c r="K53" s="21" t="str">
        <f aca="false">IF(OR(G53="",F53=""),"",IF(J53&lt;=0,"Paid",IF(Settings!$C$6&lt;F53,IF(N(H53)&gt;0,"Part-paid","Not due"),IF(Settings!$C$6=F53,"Due today","Overdue"))))</f>
        <v/>
      </c>
      <c r="L53" s="27" t="str">
        <f aca="false">IF(OR(G53="",F53=""),"",IF(J53&lt;=0,"",MAX(0,Settings!$C$6-F53)))</f>
        <v/>
      </c>
      <c r="M53" s="31" t="str">
        <f aca="false">IF(OR(G53="",F53=""),"",IF(J53&lt;=0,"Paid",IF(Settings!$C$6&gt;=F53+Settings!$P$18,"E",IF(Settings!$C$6&gt;=F53+Settings!$P$17,"D",IF(Settings!$C$6&gt;=F53+Settings!$P$16,"C",IF(Settings!$C$6&gt;=F53+Settings!$P$15,"B",IF(Settings!$C$6&gt;=F53+Settings!$P$14,"A","—")))))))</f>
        <v/>
      </c>
      <c r="N53" s="28" t="str">
        <f aca="false">IF(OR(G53="",F53="",J53&lt;=0),"",IF(Settings!$C$6&lt;F53+Settings!$P$14,F53+Settings!$P$14,IF(Settings!$C$6&lt;F53+Settings!$P$15,F53+Settings!$P$15,IF(Settings!$C$6&lt;F53+Settings!$P$16,F53+Settings!$P$16,IF(Settings!$C$6&lt;F53+Settings!$P$17,F53+Settings!$P$17,IF(Settings!$C$6&lt;F53+Settings!$P$18,F53+Settings!$P$18,""))))))</f>
        <v/>
      </c>
      <c r="O53" s="22"/>
      <c r="P53" s="26"/>
      <c r="Q53" s="21" t="str">
        <f aca="false">IF(OR(M53="",M53="Paid",M53="—"),IF(M53="Paid","Paid ✓",""),IF(O53="","Send "&amp;M53&amp;" now",IF(CODE(M53)&gt;CODE(O53),"Send "&amp;M53&amp;" now","Up to date")))</f>
        <v/>
      </c>
      <c r="R53" s="22"/>
      <c r="S53" s="29" t="n">
        <f aca="false">IF(LEFT(Q53,4)="Send",1,0)</f>
        <v>0</v>
      </c>
      <c r="T53" s="29" t="str">
        <f aca="false">IF(S53=0,"",COUNTIFS($S$5:$S$204,1,$F$5:$F$204,"&lt;"&amp;F53)+COUNTIFS($S$5:$S53,1,$F$5:$F53,F53))</f>
        <v/>
      </c>
    </row>
    <row r="54" customFormat="false" ht="15" hidden="false" customHeight="false" outlineLevel="0" collapsed="false">
      <c r="A54" s="22"/>
      <c r="B54" s="22"/>
      <c r="C54" s="22"/>
      <c r="D54" s="26"/>
      <c r="E54" s="22"/>
      <c r="F54" s="28" t="str">
        <f aca="false">IF(D54="","",D54+IF(E54="",Settings!$C$7,E54))</f>
        <v/>
      </c>
      <c r="G54" s="23"/>
      <c r="H54" s="23"/>
      <c r="I54" s="26"/>
      <c r="J54" s="25" t="str">
        <f aca="false">IF(G54="","",G54-N(H54))</f>
        <v/>
      </c>
      <c r="K54" s="21" t="str">
        <f aca="false">IF(OR(G54="",F54=""),"",IF(J54&lt;=0,"Paid",IF(Settings!$C$6&lt;F54,IF(N(H54)&gt;0,"Part-paid","Not due"),IF(Settings!$C$6=F54,"Due today","Overdue"))))</f>
        <v/>
      </c>
      <c r="L54" s="27" t="str">
        <f aca="false">IF(OR(G54="",F54=""),"",IF(J54&lt;=0,"",MAX(0,Settings!$C$6-F54)))</f>
        <v/>
      </c>
      <c r="M54" s="31" t="str">
        <f aca="false">IF(OR(G54="",F54=""),"",IF(J54&lt;=0,"Paid",IF(Settings!$C$6&gt;=F54+Settings!$P$18,"E",IF(Settings!$C$6&gt;=F54+Settings!$P$17,"D",IF(Settings!$C$6&gt;=F54+Settings!$P$16,"C",IF(Settings!$C$6&gt;=F54+Settings!$P$15,"B",IF(Settings!$C$6&gt;=F54+Settings!$P$14,"A","—")))))))</f>
        <v/>
      </c>
      <c r="N54" s="28" t="str">
        <f aca="false">IF(OR(G54="",F54="",J54&lt;=0),"",IF(Settings!$C$6&lt;F54+Settings!$P$14,F54+Settings!$P$14,IF(Settings!$C$6&lt;F54+Settings!$P$15,F54+Settings!$P$15,IF(Settings!$C$6&lt;F54+Settings!$P$16,F54+Settings!$P$16,IF(Settings!$C$6&lt;F54+Settings!$P$17,F54+Settings!$P$17,IF(Settings!$C$6&lt;F54+Settings!$P$18,F54+Settings!$P$18,""))))))</f>
        <v/>
      </c>
      <c r="O54" s="22"/>
      <c r="P54" s="26"/>
      <c r="Q54" s="21" t="str">
        <f aca="false">IF(OR(M54="",M54="Paid",M54="—"),IF(M54="Paid","Paid ✓",""),IF(O54="","Send "&amp;M54&amp;" now",IF(CODE(M54)&gt;CODE(O54),"Send "&amp;M54&amp;" now","Up to date")))</f>
        <v/>
      </c>
      <c r="R54" s="22"/>
      <c r="S54" s="29" t="n">
        <f aca="false">IF(LEFT(Q54,4)="Send",1,0)</f>
        <v>0</v>
      </c>
      <c r="T54" s="29" t="str">
        <f aca="false">IF(S54=0,"",COUNTIFS($S$5:$S$204,1,$F$5:$F$204,"&lt;"&amp;F54)+COUNTIFS($S$5:$S54,1,$F$5:$F54,F54))</f>
        <v/>
      </c>
    </row>
    <row r="55" customFormat="false" ht="15" hidden="false" customHeight="false" outlineLevel="0" collapsed="false">
      <c r="A55" s="22"/>
      <c r="B55" s="22"/>
      <c r="C55" s="22"/>
      <c r="D55" s="26"/>
      <c r="E55" s="22"/>
      <c r="F55" s="28" t="str">
        <f aca="false">IF(D55="","",D55+IF(E55="",Settings!$C$7,E55))</f>
        <v/>
      </c>
      <c r="G55" s="23"/>
      <c r="H55" s="23"/>
      <c r="I55" s="26"/>
      <c r="J55" s="25" t="str">
        <f aca="false">IF(G55="","",G55-N(H55))</f>
        <v/>
      </c>
      <c r="K55" s="21" t="str">
        <f aca="false">IF(OR(G55="",F55=""),"",IF(J55&lt;=0,"Paid",IF(Settings!$C$6&lt;F55,IF(N(H55)&gt;0,"Part-paid","Not due"),IF(Settings!$C$6=F55,"Due today","Overdue"))))</f>
        <v/>
      </c>
      <c r="L55" s="27" t="str">
        <f aca="false">IF(OR(G55="",F55=""),"",IF(J55&lt;=0,"",MAX(0,Settings!$C$6-F55)))</f>
        <v/>
      </c>
      <c r="M55" s="31" t="str">
        <f aca="false">IF(OR(G55="",F55=""),"",IF(J55&lt;=0,"Paid",IF(Settings!$C$6&gt;=F55+Settings!$P$18,"E",IF(Settings!$C$6&gt;=F55+Settings!$P$17,"D",IF(Settings!$C$6&gt;=F55+Settings!$P$16,"C",IF(Settings!$C$6&gt;=F55+Settings!$P$15,"B",IF(Settings!$C$6&gt;=F55+Settings!$P$14,"A","—")))))))</f>
        <v/>
      </c>
      <c r="N55" s="28" t="str">
        <f aca="false">IF(OR(G55="",F55="",J55&lt;=0),"",IF(Settings!$C$6&lt;F55+Settings!$P$14,F55+Settings!$P$14,IF(Settings!$C$6&lt;F55+Settings!$P$15,F55+Settings!$P$15,IF(Settings!$C$6&lt;F55+Settings!$P$16,F55+Settings!$P$16,IF(Settings!$C$6&lt;F55+Settings!$P$17,F55+Settings!$P$17,IF(Settings!$C$6&lt;F55+Settings!$P$18,F55+Settings!$P$18,""))))))</f>
        <v/>
      </c>
      <c r="O55" s="22"/>
      <c r="P55" s="26"/>
      <c r="Q55" s="21" t="str">
        <f aca="false">IF(OR(M55="",M55="Paid",M55="—"),IF(M55="Paid","Paid ✓",""),IF(O55="","Send "&amp;M55&amp;" now",IF(CODE(M55)&gt;CODE(O55),"Send "&amp;M55&amp;" now","Up to date")))</f>
        <v/>
      </c>
      <c r="R55" s="22"/>
      <c r="S55" s="29" t="n">
        <f aca="false">IF(LEFT(Q55,4)="Send",1,0)</f>
        <v>0</v>
      </c>
      <c r="T55" s="29" t="str">
        <f aca="false">IF(S55=0,"",COUNTIFS($S$5:$S$204,1,$F$5:$F$204,"&lt;"&amp;F55)+COUNTIFS($S$5:$S55,1,$F$5:$F55,F55))</f>
        <v/>
      </c>
    </row>
    <row r="56" customFormat="false" ht="15" hidden="false" customHeight="false" outlineLevel="0" collapsed="false">
      <c r="A56" s="22"/>
      <c r="B56" s="22"/>
      <c r="C56" s="22"/>
      <c r="D56" s="26"/>
      <c r="E56" s="22"/>
      <c r="F56" s="28" t="str">
        <f aca="false">IF(D56="","",D56+IF(E56="",Settings!$C$7,E56))</f>
        <v/>
      </c>
      <c r="G56" s="23"/>
      <c r="H56" s="23"/>
      <c r="I56" s="26"/>
      <c r="J56" s="25" t="str">
        <f aca="false">IF(G56="","",G56-N(H56))</f>
        <v/>
      </c>
      <c r="K56" s="21" t="str">
        <f aca="false">IF(OR(G56="",F56=""),"",IF(J56&lt;=0,"Paid",IF(Settings!$C$6&lt;F56,IF(N(H56)&gt;0,"Part-paid","Not due"),IF(Settings!$C$6=F56,"Due today","Overdue"))))</f>
        <v/>
      </c>
      <c r="L56" s="27" t="str">
        <f aca="false">IF(OR(G56="",F56=""),"",IF(J56&lt;=0,"",MAX(0,Settings!$C$6-F56)))</f>
        <v/>
      </c>
      <c r="M56" s="31" t="str">
        <f aca="false">IF(OR(G56="",F56=""),"",IF(J56&lt;=0,"Paid",IF(Settings!$C$6&gt;=F56+Settings!$P$18,"E",IF(Settings!$C$6&gt;=F56+Settings!$P$17,"D",IF(Settings!$C$6&gt;=F56+Settings!$P$16,"C",IF(Settings!$C$6&gt;=F56+Settings!$P$15,"B",IF(Settings!$C$6&gt;=F56+Settings!$P$14,"A","—")))))))</f>
        <v/>
      </c>
      <c r="N56" s="28" t="str">
        <f aca="false">IF(OR(G56="",F56="",J56&lt;=0),"",IF(Settings!$C$6&lt;F56+Settings!$P$14,F56+Settings!$P$14,IF(Settings!$C$6&lt;F56+Settings!$P$15,F56+Settings!$P$15,IF(Settings!$C$6&lt;F56+Settings!$P$16,F56+Settings!$P$16,IF(Settings!$C$6&lt;F56+Settings!$P$17,F56+Settings!$P$17,IF(Settings!$C$6&lt;F56+Settings!$P$18,F56+Settings!$P$18,""))))))</f>
        <v/>
      </c>
      <c r="O56" s="22"/>
      <c r="P56" s="26"/>
      <c r="Q56" s="21" t="str">
        <f aca="false">IF(OR(M56="",M56="Paid",M56="—"),IF(M56="Paid","Paid ✓",""),IF(O56="","Send "&amp;M56&amp;" now",IF(CODE(M56)&gt;CODE(O56),"Send "&amp;M56&amp;" now","Up to date")))</f>
        <v/>
      </c>
      <c r="R56" s="22"/>
      <c r="S56" s="29" t="n">
        <f aca="false">IF(LEFT(Q56,4)="Send",1,0)</f>
        <v>0</v>
      </c>
      <c r="T56" s="29" t="str">
        <f aca="false">IF(S56=0,"",COUNTIFS($S$5:$S$204,1,$F$5:$F$204,"&lt;"&amp;F56)+COUNTIFS($S$5:$S56,1,$F$5:$F56,F56))</f>
        <v/>
      </c>
    </row>
    <row r="57" customFormat="false" ht="15" hidden="false" customHeight="false" outlineLevel="0" collapsed="false">
      <c r="A57" s="22"/>
      <c r="B57" s="22"/>
      <c r="C57" s="22"/>
      <c r="D57" s="26"/>
      <c r="E57" s="22"/>
      <c r="F57" s="28" t="str">
        <f aca="false">IF(D57="","",D57+IF(E57="",Settings!$C$7,E57))</f>
        <v/>
      </c>
      <c r="G57" s="23"/>
      <c r="H57" s="23"/>
      <c r="I57" s="26"/>
      <c r="J57" s="25" t="str">
        <f aca="false">IF(G57="","",G57-N(H57))</f>
        <v/>
      </c>
      <c r="K57" s="21" t="str">
        <f aca="false">IF(OR(G57="",F57=""),"",IF(J57&lt;=0,"Paid",IF(Settings!$C$6&lt;F57,IF(N(H57)&gt;0,"Part-paid","Not due"),IF(Settings!$C$6=F57,"Due today","Overdue"))))</f>
        <v/>
      </c>
      <c r="L57" s="27" t="str">
        <f aca="false">IF(OR(G57="",F57=""),"",IF(J57&lt;=0,"",MAX(0,Settings!$C$6-F57)))</f>
        <v/>
      </c>
      <c r="M57" s="31" t="str">
        <f aca="false">IF(OR(G57="",F57=""),"",IF(J57&lt;=0,"Paid",IF(Settings!$C$6&gt;=F57+Settings!$P$18,"E",IF(Settings!$C$6&gt;=F57+Settings!$P$17,"D",IF(Settings!$C$6&gt;=F57+Settings!$P$16,"C",IF(Settings!$C$6&gt;=F57+Settings!$P$15,"B",IF(Settings!$C$6&gt;=F57+Settings!$P$14,"A","—")))))))</f>
        <v/>
      </c>
      <c r="N57" s="28" t="str">
        <f aca="false">IF(OR(G57="",F57="",J57&lt;=0),"",IF(Settings!$C$6&lt;F57+Settings!$P$14,F57+Settings!$P$14,IF(Settings!$C$6&lt;F57+Settings!$P$15,F57+Settings!$P$15,IF(Settings!$C$6&lt;F57+Settings!$P$16,F57+Settings!$P$16,IF(Settings!$C$6&lt;F57+Settings!$P$17,F57+Settings!$P$17,IF(Settings!$C$6&lt;F57+Settings!$P$18,F57+Settings!$P$18,""))))))</f>
        <v/>
      </c>
      <c r="O57" s="22"/>
      <c r="P57" s="26"/>
      <c r="Q57" s="21" t="str">
        <f aca="false">IF(OR(M57="",M57="Paid",M57="—"),IF(M57="Paid","Paid ✓",""),IF(O57="","Send "&amp;M57&amp;" now",IF(CODE(M57)&gt;CODE(O57),"Send "&amp;M57&amp;" now","Up to date")))</f>
        <v/>
      </c>
      <c r="R57" s="22"/>
      <c r="S57" s="29" t="n">
        <f aca="false">IF(LEFT(Q57,4)="Send",1,0)</f>
        <v>0</v>
      </c>
      <c r="T57" s="29" t="str">
        <f aca="false">IF(S57=0,"",COUNTIFS($S$5:$S$204,1,$F$5:$F$204,"&lt;"&amp;F57)+COUNTIFS($S$5:$S57,1,$F$5:$F57,F57))</f>
        <v/>
      </c>
    </row>
    <row r="58" customFormat="false" ht="15" hidden="false" customHeight="false" outlineLevel="0" collapsed="false">
      <c r="A58" s="22"/>
      <c r="B58" s="22"/>
      <c r="C58" s="22"/>
      <c r="D58" s="26"/>
      <c r="E58" s="22"/>
      <c r="F58" s="28" t="str">
        <f aca="false">IF(D58="","",D58+IF(E58="",Settings!$C$7,E58))</f>
        <v/>
      </c>
      <c r="G58" s="23"/>
      <c r="H58" s="23"/>
      <c r="I58" s="26"/>
      <c r="J58" s="25" t="str">
        <f aca="false">IF(G58="","",G58-N(H58))</f>
        <v/>
      </c>
      <c r="K58" s="21" t="str">
        <f aca="false">IF(OR(G58="",F58=""),"",IF(J58&lt;=0,"Paid",IF(Settings!$C$6&lt;F58,IF(N(H58)&gt;0,"Part-paid","Not due"),IF(Settings!$C$6=F58,"Due today","Overdue"))))</f>
        <v/>
      </c>
      <c r="L58" s="27" t="str">
        <f aca="false">IF(OR(G58="",F58=""),"",IF(J58&lt;=0,"",MAX(0,Settings!$C$6-F58)))</f>
        <v/>
      </c>
      <c r="M58" s="31" t="str">
        <f aca="false">IF(OR(G58="",F58=""),"",IF(J58&lt;=0,"Paid",IF(Settings!$C$6&gt;=F58+Settings!$P$18,"E",IF(Settings!$C$6&gt;=F58+Settings!$P$17,"D",IF(Settings!$C$6&gt;=F58+Settings!$P$16,"C",IF(Settings!$C$6&gt;=F58+Settings!$P$15,"B",IF(Settings!$C$6&gt;=F58+Settings!$P$14,"A","—")))))))</f>
        <v/>
      </c>
      <c r="N58" s="28" t="str">
        <f aca="false">IF(OR(G58="",F58="",J58&lt;=0),"",IF(Settings!$C$6&lt;F58+Settings!$P$14,F58+Settings!$P$14,IF(Settings!$C$6&lt;F58+Settings!$P$15,F58+Settings!$P$15,IF(Settings!$C$6&lt;F58+Settings!$P$16,F58+Settings!$P$16,IF(Settings!$C$6&lt;F58+Settings!$P$17,F58+Settings!$P$17,IF(Settings!$C$6&lt;F58+Settings!$P$18,F58+Settings!$P$18,""))))))</f>
        <v/>
      </c>
      <c r="O58" s="22"/>
      <c r="P58" s="26"/>
      <c r="Q58" s="21" t="str">
        <f aca="false">IF(OR(M58="",M58="Paid",M58="—"),IF(M58="Paid","Paid ✓",""),IF(O58="","Send "&amp;M58&amp;" now",IF(CODE(M58)&gt;CODE(O58),"Send "&amp;M58&amp;" now","Up to date")))</f>
        <v/>
      </c>
      <c r="R58" s="22"/>
      <c r="S58" s="29" t="n">
        <f aca="false">IF(LEFT(Q58,4)="Send",1,0)</f>
        <v>0</v>
      </c>
      <c r="T58" s="29" t="str">
        <f aca="false">IF(S58=0,"",COUNTIFS($S$5:$S$204,1,$F$5:$F$204,"&lt;"&amp;F58)+COUNTIFS($S$5:$S58,1,$F$5:$F58,F58))</f>
        <v/>
      </c>
    </row>
    <row r="59" customFormat="false" ht="15" hidden="false" customHeight="false" outlineLevel="0" collapsed="false">
      <c r="A59" s="22"/>
      <c r="B59" s="22"/>
      <c r="C59" s="22"/>
      <c r="D59" s="26"/>
      <c r="E59" s="22"/>
      <c r="F59" s="28" t="str">
        <f aca="false">IF(D59="","",D59+IF(E59="",Settings!$C$7,E59))</f>
        <v/>
      </c>
      <c r="G59" s="23"/>
      <c r="H59" s="23"/>
      <c r="I59" s="26"/>
      <c r="J59" s="25" t="str">
        <f aca="false">IF(G59="","",G59-N(H59))</f>
        <v/>
      </c>
      <c r="K59" s="21" t="str">
        <f aca="false">IF(OR(G59="",F59=""),"",IF(J59&lt;=0,"Paid",IF(Settings!$C$6&lt;F59,IF(N(H59)&gt;0,"Part-paid","Not due"),IF(Settings!$C$6=F59,"Due today","Overdue"))))</f>
        <v/>
      </c>
      <c r="L59" s="27" t="str">
        <f aca="false">IF(OR(G59="",F59=""),"",IF(J59&lt;=0,"",MAX(0,Settings!$C$6-F59)))</f>
        <v/>
      </c>
      <c r="M59" s="31" t="str">
        <f aca="false">IF(OR(G59="",F59=""),"",IF(J59&lt;=0,"Paid",IF(Settings!$C$6&gt;=F59+Settings!$P$18,"E",IF(Settings!$C$6&gt;=F59+Settings!$P$17,"D",IF(Settings!$C$6&gt;=F59+Settings!$P$16,"C",IF(Settings!$C$6&gt;=F59+Settings!$P$15,"B",IF(Settings!$C$6&gt;=F59+Settings!$P$14,"A","—")))))))</f>
        <v/>
      </c>
      <c r="N59" s="28" t="str">
        <f aca="false">IF(OR(G59="",F59="",J59&lt;=0),"",IF(Settings!$C$6&lt;F59+Settings!$P$14,F59+Settings!$P$14,IF(Settings!$C$6&lt;F59+Settings!$P$15,F59+Settings!$P$15,IF(Settings!$C$6&lt;F59+Settings!$P$16,F59+Settings!$P$16,IF(Settings!$C$6&lt;F59+Settings!$P$17,F59+Settings!$P$17,IF(Settings!$C$6&lt;F59+Settings!$P$18,F59+Settings!$P$18,""))))))</f>
        <v/>
      </c>
      <c r="O59" s="22"/>
      <c r="P59" s="26"/>
      <c r="Q59" s="21" t="str">
        <f aca="false">IF(OR(M59="",M59="Paid",M59="—"),IF(M59="Paid","Paid ✓",""),IF(O59="","Send "&amp;M59&amp;" now",IF(CODE(M59)&gt;CODE(O59),"Send "&amp;M59&amp;" now","Up to date")))</f>
        <v/>
      </c>
      <c r="R59" s="22"/>
      <c r="S59" s="29" t="n">
        <f aca="false">IF(LEFT(Q59,4)="Send",1,0)</f>
        <v>0</v>
      </c>
      <c r="T59" s="29" t="str">
        <f aca="false">IF(S59=0,"",COUNTIFS($S$5:$S$204,1,$F$5:$F$204,"&lt;"&amp;F59)+COUNTIFS($S$5:$S59,1,$F$5:$F59,F59))</f>
        <v/>
      </c>
    </row>
    <row r="60" customFormat="false" ht="15" hidden="false" customHeight="false" outlineLevel="0" collapsed="false">
      <c r="A60" s="22"/>
      <c r="B60" s="22"/>
      <c r="C60" s="22"/>
      <c r="D60" s="26"/>
      <c r="E60" s="22"/>
      <c r="F60" s="28" t="str">
        <f aca="false">IF(D60="","",D60+IF(E60="",Settings!$C$7,E60))</f>
        <v/>
      </c>
      <c r="G60" s="23"/>
      <c r="H60" s="23"/>
      <c r="I60" s="26"/>
      <c r="J60" s="25" t="str">
        <f aca="false">IF(G60="","",G60-N(H60))</f>
        <v/>
      </c>
      <c r="K60" s="21" t="str">
        <f aca="false">IF(OR(G60="",F60=""),"",IF(J60&lt;=0,"Paid",IF(Settings!$C$6&lt;F60,IF(N(H60)&gt;0,"Part-paid","Not due"),IF(Settings!$C$6=F60,"Due today","Overdue"))))</f>
        <v/>
      </c>
      <c r="L60" s="27" t="str">
        <f aca="false">IF(OR(G60="",F60=""),"",IF(J60&lt;=0,"",MAX(0,Settings!$C$6-F60)))</f>
        <v/>
      </c>
      <c r="M60" s="31" t="str">
        <f aca="false">IF(OR(G60="",F60=""),"",IF(J60&lt;=0,"Paid",IF(Settings!$C$6&gt;=F60+Settings!$P$18,"E",IF(Settings!$C$6&gt;=F60+Settings!$P$17,"D",IF(Settings!$C$6&gt;=F60+Settings!$P$16,"C",IF(Settings!$C$6&gt;=F60+Settings!$P$15,"B",IF(Settings!$C$6&gt;=F60+Settings!$P$14,"A","—")))))))</f>
        <v/>
      </c>
      <c r="N60" s="28" t="str">
        <f aca="false">IF(OR(G60="",F60="",J60&lt;=0),"",IF(Settings!$C$6&lt;F60+Settings!$P$14,F60+Settings!$P$14,IF(Settings!$C$6&lt;F60+Settings!$P$15,F60+Settings!$P$15,IF(Settings!$C$6&lt;F60+Settings!$P$16,F60+Settings!$P$16,IF(Settings!$C$6&lt;F60+Settings!$P$17,F60+Settings!$P$17,IF(Settings!$C$6&lt;F60+Settings!$P$18,F60+Settings!$P$18,""))))))</f>
        <v/>
      </c>
      <c r="O60" s="22"/>
      <c r="P60" s="26"/>
      <c r="Q60" s="21" t="str">
        <f aca="false">IF(OR(M60="",M60="Paid",M60="—"),IF(M60="Paid","Paid ✓",""),IF(O60="","Send "&amp;M60&amp;" now",IF(CODE(M60)&gt;CODE(O60),"Send "&amp;M60&amp;" now","Up to date")))</f>
        <v/>
      </c>
      <c r="R60" s="22"/>
      <c r="S60" s="29" t="n">
        <f aca="false">IF(LEFT(Q60,4)="Send",1,0)</f>
        <v>0</v>
      </c>
      <c r="T60" s="29" t="str">
        <f aca="false">IF(S60=0,"",COUNTIFS($S$5:$S$204,1,$F$5:$F$204,"&lt;"&amp;F60)+COUNTIFS($S$5:$S60,1,$F$5:$F60,F60))</f>
        <v/>
      </c>
    </row>
    <row r="61" customFormat="false" ht="15" hidden="false" customHeight="false" outlineLevel="0" collapsed="false">
      <c r="A61" s="22"/>
      <c r="B61" s="22"/>
      <c r="C61" s="22"/>
      <c r="D61" s="26"/>
      <c r="E61" s="22"/>
      <c r="F61" s="28" t="str">
        <f aca="false">IF(D61="","",D61+IF(E61="",Settings!$C$7,E61))</f>
        <v/>
      </c>
      <c r="G61" s="23"/>
      <c r="H61" s="23"/>
      <c r="I61" s="26"/>
      <c r="J61" s="25" t="str">
        <f aca="false">IF(G61="","",G61-N(H61))</f>
        <v/>
      </c>
      <c r="K61" s="21" t="str">
        <f aca="false">IF(OR(G61="",F61=""),"",IF(J61&lt;=0,"Paid",IF(Settings!$C$6&lt;F61,IF(N(H61)&gt;0,"Part-paid","Not due"),IF(Settings!$C$6=F61,"Due today","Overdue"))))</f>
        <v/>
      </c>
      <c r="L61" s="27" t="str">
        <f aca="false">IF(OR(G61="",F61=""),"",IF(J61&lt;=0,"",MAX(0,Settings!$C$6-F61)))</f>
        <v/>
      </c>
      <c r="M61" s="31" t="str">
        <f aca="false">IF(OR(G61="",F61=""),"",IF(J61&lt;=0,"Paid",IF(Settings!$C$6&gt;=F61+Settings!$P$18,"E",IF(Settings!$C$6&gt;=F61+Settings!$P$17,"D",IF(Settings!$C$6&gt;=F61+Settings!$P$16,"C",IF(Settings!$C$6&gt;=F61+Settings!$P$15,"B",IF(Settings!$C$6&gt;=F61+Settings!$P$14,"A","—")))))))</f>
        <v/>
      </c>
      <c r="N61" s="28" t="str">
        <f aca="false">IF(OR(G61="",F61="",J61&lt;=0),"",IF(Settings!$C$6&lt;F61+Settings!$P$14,F61+Settings!$P$14,IF(Settings!$C$6&lt;F61+Settings!$P$15,F61+Settings!$P$15,IF(Settings!$C$6&lt;F61+Settings!$P$16,F61+Settings!$P$16,IF(Settings!$C$6&lt;F61+Settings!$P$17,F61+Settings!$P$17,IF(Settings!$C$6&lt;F61+Settings!$P$18,F61+Settings!$P$18,""))))))</f>
        <v/>
      </c>
      <c r="O61" s="22"/>
      <c r="P61" s="26"/>
      <c r="Q61" s="21" t="str">
        <f aca="false">IF(OR(M61="",M61="Paid",M61="—"),IF(M61="Paid","Paid ✓",""),IF(O61="","Send "&amp;M61&amp;" now",IF(CODE(M61)&gt;CODE(O61),"Send "&amp;M61&amp;" now","Up to date")))</f>
        <v/>
      </c>
      <c r="R61" s="22"/>
      <c r="S61" s="29" t="n">
        <f aca="false">IF(LEFT(Q61,4)="Send",1,0)</f>
        <v>0</v>
      </c>
      <c r="T61" s="29" t="str">
        <f aca="false">IF(S61=0,"",COUNTIFS($S$5:$S$204,1,$F$5:$F$204,"&lt;"&amp;F61)+COUNTIFS($S$5:$S61,1,$F$5:$F61,F61))</f>
        <v/>
      </c>
    </row>
    <row r="62" customFormat="false" ht="15" hidden="false" customHeight="false" outlineLevel="0" collapsed="false">
      <c r="A62" s="22"/>
      <c r="B62" s="22"/>
      <c r="C62" s="22"/>
      <c r="D62" s="26"/>
      <c r="E62" s="22"/>
      <c r="F62" s="28" t="str">
        <f aca="false">IF(D62="","",D62+IF(E62="",Settings!$C$7,E62))</f>
        <v/>
      </c>
      <c r="G62" s="23"/>
      <c r="H62" s="23"/>
      <c r="I62" s="26"/>
      <c r="J62" s="25" t="str">
        <f aca="false">IF(G62="","",G62-N(H62))</f>
        <v/>
      </c>
      <c r="K62" s="21" t="str">
        <f aca="false">IF(OR(G62="",F62=""),"",IF(J62&lt;=0,"Paid",IF(Settings!$C$6&lt;F62,IF(N(H62)&gt;0,"Part-paid","Not due"),IF(Settings!$C$6=F62,"Due today","Overdue"))))</f>
        <v/>
      </c>
      <c r="L62" s="27" t="str">
        <f aca="false">IF(OR(G62="",F62=""),"",IF(J62&lt;=0,"",MAX(0,Settings!$C$6-F62)))</f>
        <v/>
      </c>
      <c r="M62" s="31" t="str">
        <f aca="false">IF(OR(G62="",F62=""),"",IF(J62&lt;=0,"Paid",IF(Settings!$C$6&gt;=F62+Settings!$P$18,"E",IF(Settings!$C$6&gt;=F62+Settings!$P$17,"D",IF(Settings!$C$6&gt;=F62+Settings!$P$16,"C",IF(Settings!$C$6&gt;=F62+Settings!$P$15,"B",IF(Settings!$C$6&gt;=F62+Settings!$P$14,"A","—")))))))</f>
        <v/>
      </c>
      <c r="N62" s="28" t="str">
        <f aca="false">IF(OR(G62="",F62="",J62&lt;=0),"",IF(Settings!$C$6&lt;F62+Settings!$P$14,F62+Settings!$P$14,IF(Settings!$C$6&lt;F62+Settings!$P$15,F62+Settings!$P$15,IF(Settings!$C$6&lt;F62+Settings!$P$16,F62+Settings!$P$16,IF(Settings!$C$6&lt;F62+Settings!$P$17,F62+Settings!$P$17,IF(Settings!$C$6&lt;F62+Settings!$P$18,F62+Settings!$P$18,""))))))</f>
        <v/>
      </c>
      <c r="O62" s="22"/>
      <c r="P62" s="26"/>
      <c r="Q62" s="21" t="str">
        <f aca="false">IF(OR(M62="",M62="Paid",M62="—"),IF(M62="Paid","Paid ✓",""),IF(O62="","Send "&amp;M62&amp;" now",IF(CODE(M62)&gt;CODE(O62),"Send "&amp;M62&amp;" now","Up to date")))</f>
        <v/>
      </c>
      <c r="R62" s="22"/>
      <c r="S62" s="29" t="n">
        <f aca="false">IF(LEFT(Q62,4)="Send",1,0)</f>
        <v>0</v>
      </c>
      <c r="T62" s="29" t="str">
        <f aca="false">IF(S62=0,"",COUNTIFS($S$5:$S$204,1,$F$5:$F$204,"&lt;"&amp;F62)+COUNTIFS($S$5:$S62,1,$F$5:$F62,F62))</f>
        <v/>
      </c>
    </row>
    <row r="63" customFormat="false" ht="15" hidden="false" customHeight="false" outlineLevel="0" collapsed="false">
      <c r="A63" s="22"/>
      <c r="B63" s="22"/>
      <c r="C63" s="22"/>
      <c r="D63" s="26"/>
      <c r="E63" s="22"/>
      <c r="F63" s="28" t="str">
        <f aca="false">IF(D63="","",D63+IF(E63="",Settings!$C$7,E63))</f>
        <v/>
      </c>
      <c r="G63" s="23"/>
      <c r="H63" s="23"/>
      <c r="I63" s="26"/>
      <c r="J63" s="25" t="str">
        <f aca="false">IF(G63="","",G63-N(H63))</f>
        <v/>
      </c>
      <c r="K63" s="21" t="str">
        <f aca="false">IF(OR(G63="",F63=""),"",IF(J63&lt;=0,"Paid",IF(Settings!$C$6&lt;F63,IF(N(H63)&gt;0,"Part-paid","Not due"),IF(Settings!$C$6=F63,"Due today","Overdue"))))</f>
        <v/>
      </c>
      <c r="L63" s="27" t="str">
        <f aca="false">IF(OR(G63="",F63=""),"",IF(J63&lt;=0,"",MAX(0,Settings!$C$6-F63)))</f>
        <v/>
      </c>
      <c r="M63" s="31" t="str">
        <f aca="false">IF(OR(G63="",F63=""),"",IF(J63&lt;=0,"Paid",IF(Settings!$C$6&gt;=F63+Settings!$P$18,"E",IF(Settings!$C$6&gt;=F63+Settings!$P$17,"D",IF(Settings!$C$6&gt;=F63+Settings!$P$16,"C",IF(Settings!$C$6&gt;=F63+Settings!$P$15,"B",IF(Settings!$C$6&gt;=F63+Settings!$P$14,"A","—")))))))</f>
        <v/>
      </c>
      <c r="N63" s="28" t="str">
        <f aca="false">IF(OR(G63="",F63="",J63&lt;=0),"",IF(Settings!$C$6&lt;F63+Settings!$P$14,F63+Settings!$P$14,IF(Settings!$C$6&lt;F63+Settings!$P$15,F63+Settings!$P$15,IF(Settings!$C$6&lt;F63+Settings!$P$16,F63+Settings!$P$16,IF(Settings!$C$6&lt;F63+Settings!$P$17,F63+Settings!$P$17,IF(Settings!$C$6&lt;F63+Settings!$P$18,F63+Settings!$P$18,""))))))</f>
        <v/>
      </c>
      <c r="O63" s="22"/>
      <c r="P63" s="26"/>
      <c r="Q63" s="21" t="str">
        <f aca="false">IF(OR(M63="",M63="Paid",M63="—"),IF(M63="Paid","Paid ✓",""),IF(O63="","Send "&amp;M63&amp;" now",IF(CODE(M63)&gt;CODE(O63),"Send "&amp;M63&amp;" now","Up to date")))</f>
        <v/>
      </c>
      <c r="R63" s="22"/>
      <c r="S63" s="29" t="n">
        <f aca="false">IF(LEFT(Q63,4)="Send",1,0)</f>
        <v>0</v>
      </c>
      <c r="T63" s="29" t="str">
        <f aca="false">IF(S63=0,"",COUNTIFS($S$5:$S$204,1,$F$5:$F$204,"&lt;"&amp;F63)+COUNTIFS($S$5:$S63,1,$F$5:$F63,F63))</f>
        <v/>
      </c>
    </row>
    <row r="64" customFormat="false" ht="15" hidden="false" customHeight="false" outlineLevel="0" collapsed="false">
      <c r="A64" s="22"/>
      <c r="B64" s="22"/>
      <c r="C64" s="22"/>
      <c r="D64" s="26"/>
      <c r="E64" s="22"/>
      <c r="F64" s="28" t="str">
        <f aca="false">IF(D64="","",D64+IF(E64="",Settings!$C$7,E64))</f>
        <v/>
      </c>
      <c r="G64" s="23"/>
      <c r="H64" s="23"/>
      <c r="I64" s="26"/>
      <c r="J64" s="25" t="str">
        <f aca="false">IF(G64="","",G64-N(H64))</f>
        <v/>
      </c>
      <c r="K64" s="21" t="str">
        <f aca="false">IF(OR(G64="",F64=""),"",IF(J64&lt;=0,"Paid",IF(Settings!$C$6&lt;F64,IF(N(H64)&gt;0,"Part-paid","Not due"),IF(Settings!$C$6=F64,"Due today","Overdue"))))</f>
        <v/>
      </c>
      <c r="L64" s="27" t="str">
        <f aca="false">IF(OR(G64="",F64=""),"",IF(J64&lt;=0,"",MAX(0,Settings!$C$6-F64)))</f>
        <v/>
      </c>
      <c r="M64" s="31" t="str">
        <f aca="false">IF(OR(G64="",F64=""),"",IF(J64&lt;=0,"Paid",IF(Settings!$C$6&gt;=F64+Settings!$P$18,"E",IF(Settings!$C$6&gt;=F64+Settings!$P$17,"D",IF(Settings!$C$6&gt;=F64+Settings!$P$16,"C",IF(Settings!$C$6&gt;=F64+Settings!$P$15,"B",IF(Settings!$C$6&gt;=F64+Settings!$P$14,"A","—")))))))</f>
        <v/>
      </c>
      <c r="N64" s="28" t="str">
        <f aca="false">IF(OR(G64="",F64="",J64&lt;=0),"",IF(Settings!$C$6&lt;F64+Settings!$P$14,F64+Settings!$P$14,IF(Settings!$C$6&lt;F64+Settings!$P$15,F64+Settings!$P$15,IF(Settings!$C$6&lt;F64+Settings!$P$16,F64+Settings!$P$16,IF(Settings!$C$6&lt;F64+Settings!$P$17,F64+Settings!$P$17,IF(Settings!$C$6&lt;F64+Settings!$P$18,F64+Settings!$P$18,""))))))</f>
        <v/>
      </c>
      <c r="O64" s="22"/>
      <c r="P64" s="26"/>
      <c r="Q64" s="21" t="str">
        <f aca="false">IF(OR(M64="",M64="Paid",M64="—"),IF(M64="Paid","Paid ✓",""),IF(O64="","Send "&amp;M64&amp;" now",IF(CODE(M64)&gt;CODE(O64),"Send "&amp;M64&amp;" now","Up to date")))</f>
        <v/>
      </c>
      <c r="R64" s="22"/>
      <c r="S64" s="29" t="n">
        <f aca="false">IF(LEFT(Q64,4)="Send",1,0)</f>
        <v>0</v>
      </c>
      <c r="T64" s="29" t="str">
        <f aca="false">IF(S64=0,"",COUNTIFS($S$5:$S$204,1,$F$5:$F$204,"&lt;"&amp;F64)+COUNTIFS($S$5:$S64,1,$F$5:$F64,F64))</f>
        <v/>
      </c>
    </row>
    <row r="65" customFormat="false" ht="15" hidden="false" customHeight="false" outlineLevel="0" collapsed="false">
      <c r="A65" s="22"/>
      <c r="B65" s="22"/>
      <c r="C65" s="22"/>
      <c r="D65" s="26"/>
      <c r="E65" s="22"/>
      <c r="F65" s="28" t="str">
        <f aca="false">IF(D65="","",D65+IF(E65="",Settings!$C$7,E65))</f>
        <v/>
      </c>
      <c r="G65" s="23"/>
      <c r="H65" s="23"/>
      <c r="I65" s="26"/>
      <c r="J65" s="25" t="str">
        <f aca="false">IF(G65="","",G65-N(H65))</f>
        <v/>
      </c>
      <c r="K65" s="21" t="str">
        <f aca="false">IF(OR(G65="",F65=""),"",IF(J65&lt;=0,"Paid",IF(Settings!$C$6&lt;F65,IF(N(H65)&gt;0,"Part-paid","Not due"),IF(Settings!$C$6=F65,"Due today","Overdue"))))</f>
        <v/>
      </c>
      <c r="L65" s="27" t="str">
        <f aca="false">IF(OR(G65="",F65=""),"",IF(J65&lt;=0,"",MAX(0,Settings!$C$6-F65)))</f>
        <v/>
      </c>
      <c r="M65" s="31" t="str">
        <f aca="false">IF(OR(G65="",F65=""),"",IF(J65&lt;=0,"Paid",IF(Settings!$C$6&gt;=F65+Settings!$P$18,"E",IF(Settings!$C$6&gt;=F65+Settings!$P$17,"D",IF(Settings!$C$6&gt;=F65+Settings!$P$16,"C",IF(Settings!$C$6&gt;=F65+Settings!$P$15,"B",IF(Settings!$C$6&gt;=F65+Settings!$P$14,"A","—")))))))</f>
        <v/>
      </c>
      <c r="N65" s="28" t="str">
        <f aca="false">IF(OR(G65="",F65="",J65&lt;=0),"",IF(Settings!$C$6&lt;F65+Settings!$P$14,F65+Settings!$P$14,IF(Settings!$C$6&lt;F65+Settings!$P$15,F65+Settings!$P$15,IF(Settings!$C$6&lt;F65+Settings!$P$16,F65+Settings!$P$16,IF(Settings!$C$6&lt;F65+Settings!$P$17,F65+Settings!$P$17,IF(Settings!$C$6&lt;F65+Settings!$P$18,F65+Settings!$P$18,""))))))</f>
        <v/>
      </c>
      <c r="O65" s="22"/>
      <c r="P65" s="26"/>
      <c r="Q65" s="21" t="str">
        <f aca="false">IF(OR(M65="",M65="Paid",M65="—"),IF(M65="Paid","Paid ✓",""),IF(O65="","Send "&amp;M65&amp;" now",IF(CODE(M65)&gt;CODE(O65),"Send "&amp;M65&amp;" now","Up to date")))</f>
        <v/>
      </c>
      <c r="R65" s="22"/>
      <c r="S65" s="29" t="n">
        <f aca="false">IF(LEFT(Q65,4)="Send",1,0)</f>
        <v>0</v>
      </c>
      <c r="T65" s="29" t="str">
        <f aca="false">IF(S65=0,"",COUNTIFS($S$5:$S$204,1,$F$5:$F$204,"&lt;"&amp;F65)+COUNTIFS($S$5:$S65,1,$F$5:$F65,F65))</f>
        <v/>
      </c>
    </row>
    <row r="66" customFormat="false" ht="15" hidden="false" customHeight="false" outlineLevel="0" collapsed="false">
      <c r="A66" s="22"/>
      <c r="B66" s="22"/>
      <c r="C66" s="22"/>
      <c r="D66" s="26"/>
      <c r="E66" s="22"/>
      <c r="F66" s="28" t="str">
        <f aca="false">IF(D66="","",D66+IF(E66="",Settings!$C$7,E66))</f>
        <v/>
      </c>
      <c r="G66" s="23"/>
      <c r="H66" s="23"/>
      <c r="I66" s="26"/>
      <c r="J66" s="25" t="str">
        <f aca="false">IF(G66="","",G66-N(H66))</f>
        <v/>
      </c>
      <c r="K66" s="21" t="str">
        <f aca="false">IF(OR(G66="",F66=""),"",IF(J66&lt;=0,"Paid",IF(Settings!$C$6&lt;F66,IF(N(H66)&gt;0,"Part-paid","Not due"),IF(Settings!$C$6=F66,"Due today","Overdue"))))</f>
        <v/>
      </c>
      <c r="L66" s="27" t="str">
        <f aca="false">IF(OR(G66="",F66=""),"",IF(J66&lt;=0,"",MAX(0,Settings!$C$6-F66)))</f>
        <v/>
      </c>
      <c r="M66" s="31" t="str">
        <f aca="false">IF(OR(G66="",F66=""),"",IF(J66&lt;=0,"Paid",IF(Settings!$C$6&gt;=F66+Settings!$P$18,"E",IF(Settings!$C$6&gt;=F66+Settings!$P$17,"D",IF(Settings!$C$6&gt;=F66+Settings!$P$16,"C",IF(Settings!$C$6&gt;=F66+Settings!$P$15,"B",IF(Settings!$C$6&gt;=F66+Settings!$P$14,"A","—")))))))</f>
        <v/>
      </c>
      <c r="N66" s="28" t="str">
        <f aca="false">IF(OR(G66="",F66="",J66&lt;=0),"",IF(Settings!$C$6&lt;F66+Settings!$P$14,F66+Settings!$P$14,IF(Settings!$C$6&lt;F66+Settings!$P$15,F66+Settings!$P$15,IF(Settings!$C$6&lt;F66+Settings!$P$16,F66+Settings!$P$16,IF(Settings!$C$6&lt;F66+Settings!$P$17,F66+Settings!$P$17,IF(Settings!$C$6&lt;F66+Settings!$P$18,F66+Settings!$P$18,""))))))</f>
        <v/>
      </c>
      <c r="O66" s="22"/>
      <c r="P66" s="26"/>
      <c r="Q66" s="21" t="str">
        <f aca="false">IF(OR(M66="",M66="Paid",M66="—"),IF(M66="Paid","Paid ✓",""),IF(O66="","Send "&amp;M66&amp;" now",IF(CODE(M66)&gt;CODE(O66),"Send "&amp;M66&amp;" now","Up to date")))</f>
        <v/>
      </c>
      <c r="R66" s="22"/>
      <c r="S66" s="29" t="n">
        <f aca="false">IF(LEFT(Q66,4)="Send",1,0)</f>
        <v>0</v>
      </c>
      <c r="T66" s="29" t="str">
        <f aca="false">IF(S66=0,"",COUNTIFS($S$5:$S$204,1,$F$5:$F$204,"&lt;"&amp;F66)+COUNTIFS($S$5:$S66,1,$F$5:$F66,F66))</f>
        <v/>
      </c>
    </row>
    <row r="67" customFormat="false" ht="15" hidden="false" customHeight="false" outlineLevel="0" collapsed="false">
      <c r="A67" s="22"/>
      <c r="B67" s="22"/>
      <c r="C67" s="22"/>
      <c r="D67" s="26"/>
      <c r="E67" s="22"/>
      <c r="F67" s="28" t="str">
        <f aca="false">IF(D67="","",D67+IF(E67="",Settings!$C$7,E67))</f>
        <v/>
      </c>
      <c r="G67" s="23"/>
      <c r="H67" s="23"/>
      <c r="I67" s="26"/>
      <c r="J67" s="25" t="str">
        <f aca="false">IF(G67="","",G67-N(H67))</f>
        <v/>
      </c>
      <c r="K67" s="21" t="str">
        <f aca="false">IF(OR(G67="",F67=""),"",IF(J67&lt;=0,"Paid",IF(Settings!$C$6&lt;F67,IF(N(H67)&gt;0,"Part-paid","Not due"),IF(Settings!$C$6=F67,"Due today","Overdue"))))</f>
        <v/>
      </c>
      <c r="L67" s="27" t="str">
        <f aca="false">IF(OR(G67="",F67=""),"",IF(J67&lt;=0,"",MAX(0,Settings!$C$6-F67)))</f>
        <v/>
      </c>
      <c r="M67" s="31" t="str">
        <f aca="false">IF(OR(G67="",F67=""),"",IF(J67&lt;=0,"Paid",IF(Settings!$C$6&gt;=F67+Settings!$P$18,"E",IF(Settings!$C$6&gt;=F67+Settings!$P$17,"D",IF(Settings!$C$6&gt;=F67+Settings!$P$16,"C",IF(Settings!$C$6&gt;=F67+Settings!$P$15,"B",IF(Settings!$C$6&gt;=F67+Settings!$P$14,"A","—")))))))</f>
        <v/>
      </c>
      <c r="N67" s="28" t="str">
        <f aca="false">IF(OR(G67="",F67="",J67&lt;=0),"",IF(Settings!$C$6&lt;F67+Settings!$P$14,F67+Settings!$P$14,IF(Settings!$C$6&lt;F67+Settings!$P$15,F67+Settings!$P$15,IF(Settings!$C$6&lt;F67+Settings!$P$16,F67+Settings!$P$16,IF(Settings!$C$6&lt;F67+Settings!$P$17,F67+Settings!$P$17,IF(Settings!$C$6&lt;F67+Settings!$P$18,F67+Settings!$P$18,""))))))</f>
        <v/>
      </c>
      <c r="O67" s="22"/>
      <c r="P67" s="26"/>
      <c r="Q67" s="21" t="str">
        <f aca="false">IF(OR(M67="",M67="Paid",M67="—"),IF(M67="Paid","Paid ✓",""),IF(O67="","Send "&amp;M67&amp;" now",IF(CODE(M67)&gt;CODE(O67),"Send "&amp;M67&amp;" now","Up to date")))</f>
        <v/>
      </c>
      <c r="R67" s="22"/>
      <c r="S67" s="29" t="n">
        <f aca="false">IF(LEFT(Q67,4)="Send",1,0)</f>
        <v>0</v>
      </c>
      <c r="T67" s="29" t="str">
        <f aca="false">IF(S67=0,"",COUNTIFS($S$5:$S$204,1,$F$5:$F$204,"&lt;"&amp;F67)+COUNTIFS($S$5:$S67,1,$F$5:$F67,F67))</f>
        <v/>
      </c>
    </row>
    <row r="68" customFormat="false" ht="15" hidden="false" customHeight="false" outlineLevel="0" collapsed="false">
      <c r="A68" s="22"/>
      <c r="B68" s="22"/>
      <c r="C68" s="22"/>
      <c r="D68" s="26"/>
      <c r="E68" s="22"/>
      <c r="F68" s="28" t="str">
        <f aca="false">IF(D68="","",D68+IF(E68="",Settings!$C$7,E68))</f>
        <v/>
      </c>
      <c r="G68" s="23"/>
      <c r="H68" s="23"/>
      <c r="I68" s="26"/>
      <c r="J68" s="25" t="str">
        <f aca="false">IF(G68="","",G68-N(H68))</f>
        <v/>
      </c>
      <c r="K68" s="21" t="str">
        <f aca="false">IF(OR(G68="",F68=""),"",IF(J68&lt;=0,"Paid",IF(Settings!$C$6&lt;F68,IF(N(H68)&gt;0,"Part-paid","Not due"),IF(Settings!$C$6=F68,"Due today","Overdue"))))</f>
        <v/>
      </c>
      <c r="L68" s="27" t="str">
        <f aca="false">IF(OR(G68="",F68=""),"",IF(J68&lt;=0,"",MAX(0,Settings!$C$6-F68)))</f>
        <v/>
      </c>
      <c r="M68" s="31" t="str">
        <f aca="false">IF(OR(G68="",F68=""),"",IF(J68&lt;=0,"Paid",IF(Settings!$C$6&gt;=F68+Settings!$P$18,"E",IF(Settings!$C$6&gt;=F68+Settings!$P$17,"D",IF(Settings!$C$6&gt;=F68+Settings!$P$16,"C",IF(Settings!$C$6&gt;=F68+Settings!$P$15,"B",IF(Settings!$C$6&gt;=F68+Settings!$P$14,"A","—")))))))</f>
        <v/>
      </c>
      <c r="N68" s="28" t="str">
        <f aca="false">IF(OR(G68="",F68="",J68&lt;=0),"",IF(Settings!$C$6&lt;F68+Settings!$P$14,F68+Settings!$P$14,IF(Settings!$C$6&lt;F68+Settings!$P$15,F68+Settings!$P$15,IF(Settings!$C$6&lt;F68+Settings!$P$16,F68+Settings!$P$16,IF(Settings!$C$6&lt;F68+Settings!$P$17,F68+Settings!$P$17,IF(Settings!$C$6&lt;F68+Settings!$P$18,F68+Settings!$P$18,""))))))</f>
        <v/>
      </c>
      <c r="O68" s="22"/>
      <c r="P68" s="26"/>
      <c r="Q68" s="21" t="str">
        <f aca="false">IF(OR(M68="",M68="Paid",M68="—"),IF(M68="Paid","Paid ✓",""),IF(O68="","Send "&amp;M68&amp;" now",IF(CODE(M68)&gt;CODE(O68),"Send "&amp;M68&amp;" now","Up to date")))</f>
        <v/>
      </c>
      <c r="R68" s="22"/>
      <c r="S68" s="29" t="n">
        <f aca="false">IF(LEFT(Q68,4)="Send",1,0)</f>
        <v>0</v>
      </c>
      <c r="T68" s="29" t="str">
        <f aca="false">IF(S68=0,"",COUNTIFS($S$5:$S$204,1,$F$5:$F$204,"&lt;"&amp;F68)+COUNTIFS($S$5:$S68,1,$F$5:$F68,F68))</f>
        <v/>
      </c>
    </row>
    <row r="69" customFormat="false" ht="15" hidden="false" customHeight="false" outlineLevel="0" collapsed="false">
      <c r="A69" s="22"/>
      <c r="B69" s="22"/>
      <c r="C69" s="22"/>
      <c r="D69" s="26"/>
      <c r="E69" s="22"/>
      <c r="F69" s="28" t="str">
        <f aca="false">IF(D69="","",D69+IF(E69="",Settings!$C$7,E69))</f>
        <v/>
      </c>
      <c r="G69" s="23"/>
      <c r="H69" s="23"/>
      <c r="I69" s="26"/>
      <c r="J69" s="25" t="str">
        <f aca="false">IF(G69="","",G69-N(H69))</f>
        <v/>
      </c>
      <c r="K69" s="21" t="str">
        <f aca="false">IF(OR(G69="",F69=""),"",IF(J69&lt;=0,"Paid",IF(Settings!$C$6&lt;F69,IF(N(H69)&gt;0,"Part-paid","Not due"),IF(Settings!$C$6=F69,"Due today","Overdue"))))</f>
        <v/>
      </c>
      <c r="L69" s="27" t="str">
        <f aca="false">IF(OR(G69="",F69=""),"",IF(J69&lt;=0,"",MAX(0,Settings!$C$6-F69)))</f>
        <v/>
      </c>
      <c r="M69" s="31" t="str">
        <f aca="false">IF(OR(G69="",F69=""),"",IF(J69&lt;=0,"Paid",IF(Settings!$C$6&gt;=F69+Settings!$P$18,"E",IF(Settings!$C$6&gt;=F69+Settings!$P$17,"D",IF(Settings!$C$6&gt;=F69+Settings!$P$16,"C",IF(Settings!$C$6&gt;=F69+Settings!$P$15,"B",IF(Settings!$C$6&gt;=F69+Settings!$P$14,"A","—")))))))</f>
        <v/>
      </c>
      <c r="N69" s="28" t="str">
        <f aca="false">IF(OR(G69="",F69="",J69&lt;=0),"",IF(Settings!$C$6&lt;F69+Settings!$P$14,F69+Settings!$P$14,IF(Settings!$C$6&lt;F69+Settings!$P$15,F69+Settings!$P$15,IF(Settings!$C$6&lt;F69+Settings!$P$16,F69+Settings!$P$16,IF(Settings!$C$6&lt;F69+Settings!$P$17,F69+Settings!$P$17,IF(Settings!$C$6&lt;F69+Settings!$P$18,F69+Settings!$P$18,""))))))</f>
        <v/>
      </c>
      <c r="O69" s="22"/>
      <c r="P69" s="26"/>
      <c r="Q69" s="21" t="str">
        <f aca="false">IF(OR(M69="",M69="Paid",M69="—"),IF(M69="Paid","Paid ✓",""),IF(O69="","Send "&amp;M69&amp;" now",IF(CODE(M69)&gt;CODE(O69),"Send "&amp;M69&amp;" now","Up to date")))</f>
        <v/>
      </c>
      <c r="R69" s="22"/>
      <c r="S69" s="29" t="n">
        <f aca="false">IF(LEFT(Q69,4)="Send",1,0)</f>
        <v>0</v>
      </c>
      <c r="T69" s="29" t="str">
        <f aca="false">IF(S69=0,"",COUNTIFS($S$5:$S$204,1,$F$5:$F$204,"&lt;"&amp;F69)+COUNTIFS($S$5:$S69,1,$F$5:$F69,F69))</f>
        <v/>
      </c>
    </row>
    <row r="70" customFormat="false" ht="15" hidden="false" customHeight="false" outlineLevel="0" collapsed="false">
      <c r="A70" s="22"/>
      <c r="B70" s="22"/>
      <c r="C70" s="22"/>
      <c r="D70" s="26"/>
      <c r="E70" s="22"/>
      <c r="F70" s="28" t="str">
        <f aca="false">IF(D70="","",D70+IF(E70="",Settings!$C$7,E70))</f>
        <v/>
      </c>
      <c r="G70" s="23"/>
      <c r="H70" s="23"/>
      <c r="I70" s="26"/>
      <c r="J70" s="25" t="str">
        <f aca="false">IF(G70="","",G70-N(H70))</f>
        <v/>
      </c>
      <c r="K70" s="21" t="str">
        <f aca="false">IF(OR(G70="",F70=""),"",IF(J70&lt;=0,"Paid",IF(Settings!$C$6&lt;F70,IF(N(H70)&gt;0,"Part-paid","Not due"),IF(Settings!$C$6=F70,"Due today","Overdue"))))</f>
        <v/>
      </c>
      <c r="L70" s="27" t="str">
        <f aca="false">IF(OR(G70="",F70=""),"",IF(J70&lt;=0,"",MAX(0,Settings!$C$6-F70)))</f>
        <v/>
      </c>
      <c r="M70" s="31" t="str">
        <f aca="false">IF(OR(G70="",F70=""),"",IF(J70&lt;=0,"Paid",IF(Settings!$C$6&gt;=F70+Settings!$P$18,"E",IF(Settings!$C$6&gt;=F70+Settings!$P$17,"D",IF(Settings!$C$6&gt;=F70+Settings!$P$16,"C",IF(Settings!$C$6&gt;=F70+Settings!$P$15,"B",IF(Settings!$C$6&gt;=F70+Settings!$P$14,"A","—")))))))</f>
        <v/>
      </c>
      <c r="N70" s="28" t="str">
        <f aca="false">IF(OR(G70="",F70="",J70&lt;=0),"",IF(Settings!$C$6&lt;F70+Settings!$P$14,F70+Settings!$P$14,IF(Settings!$C$6&lt;F70+Settings!$P$15,F70+Settings!$P$15,IF(Settings!$C$6&lt;F70+Settings!$P$16,F70+Settings!$P$16,IF(Settings!$C$6&lt;F70+Settings!$P$17,F70+Settings!$P$17,IF(Settings!$C$6&lt;F70+Settings!$P$18,F70+Settings!$P$18,""))))))</f>
        <v/>
      </c>
      <c r="O70" s="22"/>
      <c r="P70" s="26"/>
      <c r="Q70" s="21" t="str">
        <f aca="false">IF(OR(M70="",M70="Paid",M70="—"),IF(M70="Paid","Paid ✓",""),IF(O70="","Send "&amp;M70&amp;" now",IF(CODE(M70)&gt;CODE(O70),"Send "&amp;M70&amp;" now","Up to date")))</f>
        <v/>
      </c>
      <c r="R70" s="22"/>
      <c r="S70" s="29" t="n">
        <f aca="false">IF(LEFT(Q70,4)="Send",1,0)</f>
        <v>0</v>
      </c>
      <c r="T70" s="29" t="str">
        <f aca="false">IF(S70=0,"",COUNTIFS($S$5:$S$204,1,$F$5:$F$204,"&lt;"&amp;F70)+COUNTIFS($S$5:$S70,1,$F$5:$F70,F70))</f>
        <v/>
      </c>
    </row>
    <row r="71" customFormat="false" ht="15" hidden="false" customHeight="false" outlineLevel="0" collapsed="false">
      <c r="A71" s="22"/>
      <c r="B71" s="22"/>
      <c r="C71" s="22"/>
      <c r="D71" s="26"/>
      <c r="E71" s="22"/>
      <c r="F71" s="28" t="str">
        <f aca="false">IF(D71="","",D71+IF(E71="",Settings!$C$7,E71))</f>
        <v/>
      </c>
      <c r="G71" s="23"/>
      <c r="H71" s="23"/>
      <c r="I71" s="26"/>
      <c r="J71" s="25" t="str">
        <f aca="false">IF(G71="","",G71-N(H71))</f>
        <v/>
      </c>
      <c r="K71" s="21" t="str">
        <f aca="false">IF(OR(G71="",F71=""),"",IF(J71&lt;=0,"Paid",IF(Settings!$C$6&lt;F71,IF(N(H71)&gt;0,"Part-paid","Not due"),IF(Settings!$C$6=F71,"Due today","Overdue"))))</f>
        <v/>
      </c>
      <c r="L71" s="27" t="str">
        <f aca="false">IF(OR(G71="",F71=""),"",IF(J71&lt;=0,"",MAX(0,Settings!$C$6-F71)))</f>
        <v/>
      </c>
      <c r="M71" s="31" t="str">
        <f aca="false">IF(OR(G71="",F71=""),"",IF(J71&lt;=0,"Paid",IF(Settings!$C$6&gt;=F71+Settings!$P$18,"E",IF(Settings!$C$6&gt;=F71+Settings!$P$17,"D",IF(Settings!$C$6&gt;=F71+Settings!$P$16,"C",IF(Settings!$C$6&gt;=F71+Settings!$P$15,"B",IF(Settings!$C$6&gt;=F71+Settings!$P$14,"A","—")))))))</f>
        <v/>
      </c>
      <c r="N71" s="28" t="str">
        <f aca="false">IF(OR(G71="",F71="",J71&lt;=0),"",IF(Settings!$C$6&lt;F71+Settings!$P$14,F71+Settings!$P$14,IF(Settings!$C$6&lt;F71+Settings!$P$15,F71+Settings!$P$15,IF(Settings!$C$6&lt;F71+Settings!$P$16,F71+Settings!$P$16,IF(Settings!$C$6&lt;F71+Settings!$P$17,F71+Settings!$P$17,IF(Settings!$C$6&lt;F71+Settings!$P$18,F71+Settings!$P$18,""))))))</f>
        <v/>
      </c>
      <c r="O71" s="22"/>
      <c r="P71" s="26"/>
      <c r="Q71" s="21" t="str">
        <f aca="false">IF(OR(M71="",M71="Paid",M71="—"),IF(M71="Paid","Paid ✓",""),IF(O71="","Send "&amp;M71&amp;" now",IF(CODE(M71)&gt;CODE(O71),"Send "&amp;M71&amp;" now","Up to date")))</f>
        <v/>
      </c>
      <c r="R71" s="22"/>
      <c r="S71" s="29" t="n">
        <f aca="false">IF(LEFT(Q71,4)="Send",1,0)</f>
        <v>0</v>
      </c>
      <c r="T71" s="29" t="str">
        <f aca="false">IF(S71=0,"",COUNTIFS($S$5:$S$204,1,$F$5:$F$204,"&lt;"&amp;F71)+COUNTIFS($S$5:$S71,1,$F$5:$F71,F71))</f>
        <v/>
      </c>
    </row>
    <row r="72" customFormat="false" ht="15" hidden="false" customHeight="false" outlineLevel="0" collapsed="false">
      <c r="A72" s="22"/>
      <c r="B72" s="22"/>
      <c r="C72" s="22"/>
      <c r="D72" s="26"/>
      <c r="E72" s="22"/>
      <c r="F72" s="28" t="str">
        <f aca="false">IF(D72="","",D72+IF(E72="",Settings!$C$7,E72))</f>
        <v/>
      </c>
      <c r="G72" s="23"/>
      <c r="H72" s="23"/>
      <c r="I72" s="26"/>
      <c r="J72" s="25" t="str">
        <f aca="false">IF(G72="","",G72-N(H72))</f>
        <v/>
      </c>
      <c r="K72" s="21" t="str">
        <f aca="false">IF(OR(G72="",F72=""),"",IF(J72&lt;=0,"Paid",IF(Settings!$C$6&lt;F72,IF(N(H72)&gt;0,"Part-paid","Not due"),IF(Settings!$C$6=F72,"Due today","Overdue"))))</f>
        <v/>
      </c>
      <c r="L72" s="27" t="str">
        <f aca="false">IF(OR(G72="",F72=""),"",IF(J72&lt;=0,"",MAX(0,Settings!$C$6-F72)))</f>
        <v/>
      </c>
      <c r="M72" s="31" t="str">
        <f aca="false">IF(OR(G72="",F72=""),"",IF(J72&lt;=0,"Paid",IF(Settings!$C$6&gt;=F72+Settings!$P$18,"E",IF(Settings!$C$6&gt;=F72+Settings!$P$17,"D",IF(Settings!$C$6&gt;=F72+Settings!$P$16,"C",IF(Settings!$C$6&gt;=F72+Settings!$P$15,"B",IF(Settings!$C$6&gt;=F72+Settings!$P$14,"A","—")))))))</f>
        <v/>
      </c>
      <c r="N72" s="28" t="str">
        <f aca="false">IF(OR(G72="",F72="",J72&lt;=0),"",IF(Settings!$C$6&lt;F72+Settings!$P$14,F72+Settings!$P$14,IF(Settings!$C$6&lt;F72+Settings!$P$15,F72+Settings!$P$15,IF(Settings!$C$6&lt;F72+Settings!$P$16,F72+Settings!$P$16,IF(Settings!$C$6&lt;F72+Settings!$P$17,F72+Settings!$P$17,IF(Settings!$C$6&lt;F72+Settings!$P$18,F72+Settings!$P$18,""))))))</f>
        <v/>
      </c>
      <c r="O72" s="22"/>
      <c r="P72" s="26"/>
      <c r="Q72" s="21" t="str">
        <f aca="false">IF(OR(M72="",M72="Paid",M72="—"),IF(M72="Paid","Paid ✓",""),IF(O72="","Send "&amp;M72&amp;" now",IF(CODE(M72)&gt;CODE(O72),"Send "&amp;M72&amp;" now","Up to date")))</f>
        <v/>
      </c>
      <c r="R72" s="22"/>
      <c r="S72" s="29" t="n">
        <f aca="false">IF(LEFT(Q72,4)="Send",1,0)</f>
        <v>0</v>
      </c>
      <c r="T72" s="29" t="str">
        <f aca="false">IF(S72=0,"",COUNTIFS($S$5:$S$204,1,$F$5:$F$204,"&lt;"&amp;F72)+COUNTIFS($S$5:$S72,1,$F$5:$F72,F72))</f>
        <v/>
      </c>
    </row>
    <row r="73" customFormat="false" ht="15" hidden="false" customHeight="false" outlineLevel="0" collapsed="false">
      <c r="A73" s="22"/>
      <c r="B73" s="22"/>
      <c r="C73" s="22"/>
      <c r="D73" s="26"/>
      <c r="E73" s="22"/>
      <c r="F73" s="28" t="str">
        <f aca="false">IF(D73="","",D73+IF(E73="",Settings!$C$7,E73))</f>
        <v/>
      </c>
      <c r="G73" s="23"/>
      <c r="H73" s="23"/>
      <c r="I73" s="26"/>
      <c r="J73" s="25" t="str">
        <f aca="false">IF(G73="","",G73-N(H73))</f>
        <v/>
      </c>
      <c r="K73" s="21" t="str">
        <f aca="false">IF(OR(G73="",F73=""),"",IF(J73&lt;=0,"Paid",IF(Settings!$C$6&lt;F73,IF(N(H73)&gt;0,"Part-paid","Not due"),IF(Settings!$C$6=F73,"Due today","Overdue"))))</f>
        <v/>
      </c>
      <c r="L73" s="27" t="str">
        <f aca="false">IF(OR(G73="",F73=""),"",IF(J73&lt;=0,"",MAX(0,Settings!$C$6-F73)))</f>
        <v/>
      </c>
      <c r="M73" s="31" t="str">
        <f aca="false">IF(OR(G73="",F73=""),"",IF(J73&lt;=0,"Paid",IF(Settings!$C$6&gt;=F73+Settings!$P$18,"E",IF(Settings!$C$6&gt;=F73+Settings!$P$17,"D",IF(Settings!$C$6&gt;=F73+Settings!$P$16,"C",IF(Settings!$C$6&gt;=F73+Settings!$P$15,"B",IF(Settings!$C$6&gt;=F73+Settings!$P$14,"A","—")))))))</f>
        <v/>
      </c>
      <c r="N73" s="28" t="str">
        <f aca="false">IF(OR(G73="",F73="",J73&lt;=0),"",IF(Settings!$C$6&lt;F73+Settings!$P$14,F73+Settings!$P$14,IF(Settings!$C$6&lt;F73+Settings!$P$15,F73+Settings!$P$15,IF(Settings!$C$6&lt;F73+Settings!$P$16,F73+Settings!$P$16,IF(Settings!$C$6&lt;F73+Settings!$P$17,F73+Settings!$P$17,IF(Settings!$C$6&lt;F73+Settings!$P$18,F73+Settings!$P$18,""))))))</f>
        <v/>
      </c>
      <c r="O73" s="22"/>
      <c r="P73" s="26"/>
      <c r="Q73" s="21" t="str">
        <f aca="false">IF(OR(M73="",M73="Paid",M73="—"),IF(M73="Paid","Paid ✓",""),IF(O73="","Send "&amp;M73&amp;" now",IF(CODE(M73)&gt;CODE(O73),"Send "&amp;M73&amp;" now","Up to date")))</f>
        <v/>
      </c>
      <c r="R73" s="22"/>
      <c r="S73" s="29" t="n">
        <f aca="false">IF(LEFT(Q73,4)="Send",1,0)</f>
        <v>0</v>
      </c>
      <c r="T73" s="29" t="str">
        <f aca="false">IF(S73=0,"",COUNTIFS($S$5:$S$204,1,$F$5:$F$204,"&lt;"&amp;F73)+COUNTIFS($S$5:$S73,1,$F$5:$F73,F73))</f>
        <v/>
      </c>
    </row>
    <row r="74" customFormat="false" ht="15" hidden="false" customHeight="false" outlineLevel="0" collapsed="false">
      <c r="A74" s="22"/>
      <c r="B74" s="22"/>
      <c r="C74" s="22"/>
      <c r="D74" s="26"/>
      <c r="E74" s="22"/>
      <c r="F74" s="28" t="str">
        <f aca="false">IF(D74="","",D74+IF(E74="",Settings!$C$7,E74))</f>
        <v/>
      </c>
      <c r="G74" s="23"/>
      <c r="H74" s="23"/>
      <c r="I74" s="26"/>
      <c r="J74" s="25" t="str">
        <f aca="false">IF(G74="","",G74-N(H74))</f>
        <v/>
      </c>
      <c r="K74" s="21" t="str">
        <f aca="false">IF(OR(G74="",F74=""),"",IF(J74&lt;=0,"Paid",IF(Settings!$C$6&lt;F74,IF(N(H74)&gt;0,"Part-paid","Not due"),IF(Settings!$C$6=F74,"Due today","Overdue"))))</f>
        <v/>
      </c>
      <c r="L74" s="27" t="str">
        <f aca="false">IF(OR(G74="",F74=""),"",IF(J74&lt;=0,"",MAX(0,Settings!$C$6-F74)))</f>
        <v/>
      </c>
      <c r="M74" s="31" t="str">
        <f aca="false">IF(OR(G74="",F74=""),"",IF(J74&lt;=0,"Paid",IF(Settings!$C$6&gt;=F74+Settings!$P$18,"E",IF(Settings!$C$6&gt;=F74+Settings!$P$17,"D",IF(Settings!$C$6&gt;=F74+Settings!$P$16,"C",IF(Settings!$C$6&gt;=F74+Settings!$P$15,"B",IF(Settings!$C$6&gt;=F74+Settings!$P$14,"A","—")))))))</f>
        <v/>
      </c>
      <c r="N74" s="28" t="str">
        <f aca="false">IF(OR(G74="",F74="",J74&lt;=0),"",IF(Settings!$C$6&lt;F74+Settings!$P$14,F74+Settings!$P$14,IF(Settings!$C$6&lt;F74+Settings!$P$15,F74+Settings!$P$15,IF(Settings!$C$6&lt;F74+Settings!$P$16,F74+Settings!$P$16,IF(Settings!$C$6&lt;F74+Settings!$P$17,F74+Settings!$P$17,IF(Settings!$C$6&lt;F74+Settings!$P$18,F74+Settings!$P$18,""))))))</f>
        <v/>
      </c>
      <c r="O74" s="22"/>
      <c r="P74" s="26"/>
      <c r="Q74" s="21" t="str">
        <f aca="false">IF(OR(M74="",M74="Paid",M74="—"),IF(M74="Paid","Paid ✓",""),IF(O74="","Send "&amp;M74&amp;" now",IF(CODE(M74)&gt;CODE(O74),"Send "&amp;M74&amp;" now","Up to date")))</f>
        <v/>
      </c>
      <c r="R74" s="22"/>
      <c r="S74" s="29" t="n">
        <f aca="false">IF(LEFT(Q74,4)="Send",1,0)</f>
        <v>0</v>
      </c>
      <c r="T74" s="29" t="str">
        <f aca="false">IF(S74=0,"",COUNTIFS($S$5:$S$204,1,$F$5:$F$204,"&lt;"&amp;F74)+COUNTIFS($S$5:$S74,1,$F$5:$F74,F74))</f>
        <v/>
      </c>
    </row>
    <row r="75" customFormat="false" ht="15" hidden="false" customHeight="false" outlineLevel="0" collapsed="false">
      <c r="A75" s="22"/>
      <c r="B75" s="22"/>
      <c r="C75" s="22"/>
      <c r="D75" s="26"/>
      <c r="E75" s="22"/>
      <c r="F75" s="28" t="str">
        <f aca="false">IF(D75="","",D75+IF(E75="",Settings!$C$7,E75))</f>
        <v/>
      </c>
      <c r="G75" s="23"/>
      <c r="H75" s="23"/>
      <c r="I75" s="26"/>
      <c r="J75" s="25" t="str">
        <f aca="false">IF(G75="","",G75-N(H75))</f>
        <v/>
      </c>
      <c r="K75" s="21" t="str">
        <f aca="false">IF(OR(G75="",F75=""),"",IF(J75&lt;=0,"Paid",IF(Settings!$C$6&lt;F75,IF(N(H75)&gt;0,"Part-paid","Not due"),IF(Settings!$C$6=F75,"Due today","Overdue"))))</f>
        <v/>
      </c>
      <c r="L75" s="27" t="str">
        <f aca="false">IF(OR(G75="",F75=""),"",IF(J75&lt;=0,"",MAX(0,Settings!$C$6-F75)))</f>
        <v/>
      </c>
      <c r="M75" s="31" t="str">
        <f aca="false">IF(OR(G75="",F75=""),"",IF(J75&lt;=0,"Paid",IF(Settings!$C$6&gt;=F75+Settings!$P$18,"E",IF(Settings!$C$6&gt;=F75+Settings!$P$17,"D",IF(Settings!$C$6&gt;=F75+Settings!$P$16,"C",IF(Settings!$C$6&gt;=F75+Settings!$P$15,"B",IF(Settings!$C$6&gt;=F75+Settings!$P$14,"A","—")))))))</f>
        <v/>
      </c>
      <c r="N75" s="28" t="str">
        <f aca="false">IF(OR(G75="",F75="",J75&lt;=0),"",IF(Settings!$C$6&lt;F75+Settings!$P$14,F75+Settings!$P$14,IF(Settings!$C$6&lt;F75+Settings!$P$15,F75+Settings!$P$15,IF(Settings!$C$6&lt;F75+Settings!$P$16,F75+Settings!$P$16,IF(Settings!$C$6&lt;F75+Settings!$P$17,F75+Settings!$P$17,IF(Settings!$C$6&lt;F75+Settings!$P$18,F75+Settings!$P$18,""))))))</f>
        <v/>
      </c>
      <c r="O75" s="22"/>
      <c r="P75" s="26"/>
      <c r="Q75" s="21" t="str">
        <f aca="false">IF(OR(M75="",M75="Paid",M75="—"),IF(M75="Paid","Paid ✓",""),IF(O75="","Send "&amp;M75&amp;" now",IF(CODE(M75)&gt;CODE(O75),"Send "&amp;M75&amp;" now","Up to date")))</f>
        <v/>
      </c>
      <c r="R75" s="22"/>
      <c r="S75" s="29" t="n">
        <f aca="false">IF(LEFT(Q75,4)="Send",1,0)</f>
        <v>0</v>
      </c>
      <c r="T75" s="29" t="str">
        <f aca="false">IF(S75=0,"",COUNTIFS($S$5:$S$204,1,$F$5:$F$204,"&lt;"&amp;F75)+COUNTIFS($S$5:$S75,1,$F$5:$F75,F75))</f>
        <v/>
      </c>
    </row>
    <row r="76" customFormat="false" ht="15" hidden="false" customHeight="false" outlineLevel="0" collapsed="false">
      <c r="A76" s="22"/>
      <c r="B76" s="22"/>
      <c r="C76" s="22"/>
      <c r="D76" s="26"/>
      <c r="E76" s="22"/>
      <c r="F76" s="28" t="str">
        <f aca="false">IF(D76="","",D76+IF(E76="",Settings!$C$7,E76))</f>
        <v/>
      </c>
      <c r="G76" s="23"/>
      <c r="H76" s="23"/>
      <c r="I76" s="26"/>
      <c r="J76" s="25" t="str">
        <f aca="false">IF(G76="","",G76-N(H76))</f>
        <v/>
      </c>
      <c r="K76" s="21" t="str">
        <f aca="false">IF(OR(G76="",F76=""),"",IF(J76&lt;=0,"Paid",IF(Settings!$C$6&lt;F76,IF(N(H76)&gt;0,"Part-paid","Not due"),IF(Settings!$C$6=F76,"Due today","Overdue"))))</f>
        <v/>
      </c>
      <c r="L76" s="27" t="str">
        <f aca="false">IF(OR(G76="",F76=""),"",IF(J76&lt;=0,"",MAX(0,Settings!$C$6-F76)))</f>
        <v/>
      </c>
      <c r="M76" s="31" t="str">
        <f aca="false">IF(OR(G76="",F76=""),"",IF(J76&lt;=0,"Paid",IF(Settings!$C$6&gt;=F76+Settings!$P$18,"E",IF(Settings!$C$6&gt;=F76+Settings!$P$17,"D",IF(Settings!$C$6&gt;=F76+Settings!$P$16,"C",IF(Settings!$C$6&gt;=F76+Settings!$P$15,"B",IF(Settings!$C$6&gt;=F76+Settings!$P$14,"A","—")))))))</f>
        <v/>
      </c>
      <c r="N76" s="28" t="str">
        <f aca="false">IF(OR(G76="",F76="",J76&lt;=0),"",IF(Settings!$C$6&lt;F76+Settings!$P$14,F76+Settings!$P$14,IF(Settings!$C$6&lt;F76+Settings!$P$15,F76+Settings!$P$15,IF(Settings!$C$6&lt;F76+Settings!$P$16,F76+Settings!$P$16,IF(Settings!$C$6&lt;F76+Settings!$P$17,F76+Settings!$P$17,IF(Settings!$C$6&lt;F76+Settings!$P$18,F76+Settings!$P$18,""))))))</f>
        <v/>
      </c>
      <c r="O76" s="22"/>
      <c r="P76" s="26"/>
      <c r="Q76" s="21" t="str">
        <f aca="false">IF(OR(M76="",M76="Paid",M76="—"),IF(M76="Paid","Paid ✓",""),IF(O76="","Send "&amp;M76&amp;" now",IF(CODE(M76)&gt;CODE(O76),"Send "&amp;M76&amp;" now","Up to date")))</f>
        <v/>
      </c>
      <c r="R76" s="22"/>
      <c r="S76" s="29" t="n">
        <f aca="false">IF(LEFT(Q76,4)="Send",1,0)</f>
        <v>0</v>
      </c>
      <c r="T76" s="29" t="str">
        <f aca="false">IF(S76=0,"",COUNTIFS($S$5:$S$204,1,$F$5:$F$204,"&lt;"&amp;F76)+COUNTIFS($S$5:$S76,1,$F$5:$F76,F76))</f>
        <v/>
      </c>
    </row>
    <row r="77" customFormat="false" ht="15" hidden="false" customHeight="false" outlineLevel="0" collapsed="false">
      <c r="A77" s="22"/>
      <c r="B77" s="22"/>
      <c r="C77" s="22"/>
      <c r="D77" s="26"/>
      <c r="E77" s="22"/>
      <c r="F77" s="28" t="str">
        <f aca="false">IF(D77="","",D77+IF(E77="",Settings!$C$7,E77))</f>
        <v/>
      </c>
      <c r="G77" s="23"/>
      <c r="H77" s="23"/>
      <c r="I77" s="26"/>
      <c r="J77" s="25" t="str">
        <f aca="false">IF(G77="","",G77-N(H77))</f>
        <v/>
      </c>
      <c r="K77" s="21" t="str">
        <f aca="false">IF(OR(G77="",F77=""),"",IF(J77&lt;=0,"Paid",IF(Settings!$C$6&lt;F77,IF(N(H77)&gt;0,"Part-paid","Not due"),IF(Settings!$C$6=F77,"Due today","Overdue"))))</f>
        <v/>
      </c>
      <c r="L77" s="27" t="str">
        <f aca="false">IF(OR(G77="",F77=""),"",IF(J77&lt;=0,"",MAX(0,Settings!$C$6-F77)))</f>
        <v/>
      </c>
      <c r="M77" s="31" t="str">
        <f aca="false">IF(OR(G77="",F77=""),"",IF(J77&lt;=0,"Paid",IF(Settings!$C$6&gt;=F77+Settings!$P$18,"E",IF(Settings!$C$6&gt;=F77+Settings!$P$17,"D",IF(Settings!$C$6&gt;=F77+Settings!$P$16,"C",IF(Settings!$C$6&gt;=F77+Settings!$P$15,"B",IF(Settings!$C$6&gt;=F77+Settings!$P$14,"A","—")))))))</f>
        <v/>
      </c>
      <c r="N77" s="28" t="str">
        <f aca="false">IF(OR(G77="",F77="",J77&lt;=0),"",IF(Settings!$C$6&lt;F77+Settings!$P$14,F77+Settings!$P$14,IF(Settings!$C$6&lt;F77+Settings!$P$15,F77+Settings!$P$15,IF(Settings!$C$6&lt;F77+Settings!$P$16,F77+Settings!$P$16,IF(Settings!$C$6&lt;F77+Settings!$P$17,F77+Settings!$P$17,IF(Settings!$C$6&lt;F77+Settings!$P$18,F77+Settings!$P$18,""))))))</f>
        <v/>
      </c>
      <c r="O77" s="22"/>
      <c r="P77" s="26"/>
      <c r="Q77" s="21" t="str">
        <f aca="false">IF(OR(M77="",M77="Paid",M77="—"),IF(M77="Paid","Paid ✓",""),IF(O77="","Send "&amp;M77&amp;" now",IF(CODE(M77)&gt;CODE(O77),"Send "&amp;M77&amp;" now","Up to date")))</f>
        <v/>
      </c>
      <c r="R77" s="22"/>
      <c r="S77" s="29" t="n">
        <f aca="false">IF(LEFT(Q77,4)="Send",1,0)</f>
        <v>0</v>
      </c>
      <c r="T77" s="29" t="str">
        <f aca="false">IF(S77=0,"",COUNTIFS($S$5:$S$204,1,$F$5:$F$204,"&lt;"&amp;F77)+COUNTIFS($S$5:$S77,1,$F$5:$F77,F77))</f>
        <v/>
      </c>
    </row>
    <row r="78" customFormat="false" ht="15" hidden="false" customHeight="false" outlineLevel="0" collapsed="false">
      <c r="A78" s="22"/>
      <c r="B78" s="22"/>
      <c r="C78" s="22"/>
      <c r="D78" s="26"/>
      <c r="E78" s="22"/>
      <c r="F78" s="28" t="str">
        <f aca="false">IF(D78="","",D78+IF(E78="",Settings!$C$7,E78))</f>
        <v/>
      </c>
      <c r="G78" s="23"/>
      <c r="H78" s="23"/>
      <c r="I78" s="26"/>
      <c r="J78" s="25" t="str">
        <f aca="false">IF(G78="","",G78-N(H78))</f>
        <v/>
      </c>
      <c r="K78" s="21" t="str">
        <f aca="false">IF(OR(G78="",F78=""),"",IF(J78&lt;=0,"Paid",IF(Settings!$C$6&lt;F78,IF(N(H78)&gt;0,"Part-paid","Not due"),IF(Settings!$C$6=F78,"Due today","Overdue"))))</f>
        <v/>
      </c>
      <c r="L78" s="27" t="str">
        <f aca="false">IF(OR(G78="",F78=""),"",IF(J78&lt;=0,"",MAX(0,Settings!$C$6-F78)))</f>
        <v/>
      </c>
      <c r="M78" s="31" t="str">
        <f aca="false">IF(OR(G78="",F78=""),"",IF(J78&lt;=0,"Paid",IF(Settings!$C$6&gt;=F78+Settings!$P$18,"E",IF(Settings!$C$6&gt;=F78+Settings!$P$17,"D",IF(Settings!$C$6&gt;=F78+Settings!$P$16,"C",IF(Settings!$C$6&gt;=F78+Settings!$P$15,"B",IF(Settings!$C$6&gt;=F78+Settings!$P$14,"A","—")))))))</f>
        <v/>
      </c>
      <c r="N78" s="28" t="str">
        <f aca="false">IF(OR(G78="",F78="",J78&lt;=0),"",IF(Settings!$C$6&lt;F78+Settings!$P$14,F78+Settings!$P$14,IF(Settings!$C$6&lt;F78+Settings!$P$15,F78+Settings!$P$15,IF(Settings!$C$6&lt;F78+Settings!$P$16,F78+Settings!$P$16,IF(Settings!$C$6&lt;F78+Settings!$P$17,F78+Settings!$P$17,IF(Settings!$C$6&lt;F78+Settings!$P$18,F78+Settings!$P$18,""))))))</f>
        <v/>
      </c>
      <c r="O78" s="22"/>
      <c r="P78" s="26"/>
      <c r="Q78" s="21" t="str">
        <f aca="false">IF(OR(M78="",M78="Paid",M78="—"),IF(M78="Paid","Paid ✓",""),IF(O78="","Send "&amp;M78&amp;" now",IF(CODE(M78)&gt;CODE(O78),"Send "&amp;M78&amp;" now","Up to date")))</f>
        <v/>
      </c>
      <c r="R78" s="22"/>
      <c r="S78" s="29" t="n">
        <f aca="false">IF(LEFT(Q78,4)="Send",1,0)</f>
        <v>0</v>
      </c>
      <c r="T78" s="29" t="str">
        <f aca="false">IF(S78=0,"",COUNTIFS($S$5:$S$204,1,$F$5:$F$204,"&lt;"&amp;F78)+COUNTIFS($S$5:$S78,1,$F$5:$F78,F78))</f>
        <v/>
      </c>
    </row>
    <row r="79" customFormat="false" ht="15" hidden="false" customHeight="false" outlineLevel="0" collapsed="false">
      <c r="A79" s="22"/>
      <c r="B79" s="22"/>
      <c r="C79" s="22"/>
      <c r="D79" s="26"/>
      <c r="E79" s="22"/>
      <c r="F79" s="28" t="str">
        <f aca="false">IF(D79="","",D79+IF(E79="",Settings!$C$7,E79))</f>
        <v/>
      </c>
      <c r="G79" s="23"/>
      <c r="H79" s="23"/>
      <c r="I79" s="26"/>
      <c r="J79" s="25" t="str">
        <f aca="false">IF(G79="","",G79-N(H79))</f>
        <v/>
      </c>
      <c r="K79" s="21" t="str">
        <f aca="false">IF(OR(G79="",F79=""),"",IF(J79&lt;=0,"Paid",IF(Settings!$C$6&lt;F79,IF(N(H79)&gt;0,"Part-paid","Not due"),IF(Settings!$C$6=F79,"Due today","Overdue"))))</f>
        <v/>
      </c>
      <c r="L79" s="27" t="str">
        <f aca="false">IF(OR(G79="",F79=""),"",IF(J79&lt;=0,"",MAX(0,Settings!$C$6-F79)))</f>
        <v/>
      </c>
      <c r="M79" s="31" t="str">
        <f aca="false">IF(OR(G79="",F79=""),"",IF(J79&lt;=0,"Paid",IF(Settings!$C$6&gt;=F79+Settings!$P$18,"E",IF(Settings!$C$6&gt;=F79+Settings!$P$17,"D",IF(Settings!$C$6&gt;=F79+Settings!$P$16,"C",IF(Settings!$C$6&gt;=F79+Settings!$P$15,"B",IF(Settings!$C$6&gt;=F79+Settings!$P$14,"A","—")))))))</f>
        <v/>
      </c>
      <c r="N79" s="28" t="str">
        <f aca="false">IF(OR(G79="",F79="",J79&lt;=0),"",IF(Settings!$C$6&lt;F79+Settings!$P$14,F79+Settings!$P$14,IF(Settings!$C$6&lt;F79+Settings!$P$15,F79+Settings!$P$15,IF(Settings!$C$6&lt;F79+Settings!$P$16,F79+Settings!$P$16,IF(Settings!$C$6&lt;F79+Settings!$P$17,F79+Settings!$P$17,IF(Settings!$C$6&lt;F79+Settings!$P$18,F79+Settings!$P$18,""))))))</f>
        <v/>
      </c>
      <c r="O79" s="22"/>
      <c r="P79" s="26"/>
      <c r="Q79" s="21" t="str">
        <f aca="false">IF(OR(M79="",M79="Paid",M79="—"),IF(M79="Paid","Paid ✓",""),IF(O79="","Send "&amp;M79&amp;" now",IF(CODE(M79)&gt;CODE(O79),"Send "&amp;M79&amp;" now","Up to date")))</f>
        <v/>
      </c>
      <c r="R79" s="22"/>
      <c r="S79" s="29" t="n">
        <f aca="false">IF(LEFT(Q79,4)="Send",1,0)</f>
        <v>0</v>
      </c>
      <c r="T79" s="29" t="str">
        <f aca="false">IF(S79=0,"",COUNTIFS($S$5:$S$204,1,$F$5:$F$204,"&lt;"&amp;F79)+COUNTIFS($S$5:$S79,1,$F$5:$F79,F79))</f>
        <v/>
      </c>
    </row>
    <row r="80" customFormat="false" ht="15" hidden="false" customHeight="false" outlineLevel="0" collapsed="false">
      <c r="A80" s="22"/>
      <c r="B80" s="22"/>
      <c r="C80" s="22"/>
      <c r="D80" s="26"/>
      <c r="E80" s="22"/>
      <c r="F80" s="28" t="str">
        <f aca="false">IF(D80="","",D80+IF(E80="",Settings!$C$7,E80))</f>
        <v/>
      </c>
      <c r="G80" s="23"/>
      <c r="H80" s="23"/>
      <c r="I80" s="26"/>
      <c r="J80" s="25" t="str">
        <f aca="false">IF(G80="","",G80-N(H80))</f>
        <v/>
      </c>
      <c r="K80" s="21" t="str">
        <f aca="false">IF(OR(G80="",F80=""),"",IF(J80&lt;=0,"Paid",IF(Settings!$C$6&lt;F80,IF(N(H80)&gt;0,"Part-paid","Not due"),IF(Settings!$C$6=F80,"Due today","Overdue"))))</f>
        <v/>
      </c>
      <c r="L80" s="27" t="str">
        <f aca="false">IF(OR(G80="",F80=""),"",IF(J80&lt;=0,"",MAX(0,Settings!$C$6-F80)))</f>
        <v/>
      </c>
      <c r="M80" s="31" t="str">
        <f aca="false">IF(OR(G80="",F80=""),"",IF(J80&lt;=0,"Paid",IF(Settings!$C$6&gt;=F80+Settings!$P$18,"E",IF(Settings!$C$6&gt;=F80+Settings!$P$17,"D",IF(Settings!$C$6&gt;=F80+Settings!$P$16,"C",IF(Settings!$C$6&gt;=F80+Settings!$P$15,"B",IF(Settings!$C$6&gt;=F80+Settings!$P$14,"A","—")))))))</f>
        <v/>
      </c>
      <c r="N80" s="28" t="str">
        <f aca="false">IF(OR(G80="",F80="",J80&lt;=0),"",IF(Settings!$C$6&lt;F80+Settings!$P$14,F80+Settings!$P$14,IF(Settings!$C$6&lt;F80+Settings!$P$15,F80+Settings!$P$15,IF(Settings!$C$6&lt;F80+Settings!$P$16,F80+Settings!$P$16,IF(Settings!$C$6&lt;F80+Settings!$P$17,F80+Settings!$P$17,IF(Settings!$C$6&lt;F80+Settings!$P$18,F80+Settings!$P$18,""))))))</f>
        <v/>
      </c>
      <c r="O80" s="22"/>
      <c r="P80" s="26"/>
      <c r="Q80" s="21" t="str">
        <f aca="false">IF(OR(M80="",M80="Paid",M80="—"),IF(M80="Paid","Paid ✓",""),IF(O80="","Send "&amp;M80&amp;" now",IF(CODE(M80)&gt;CODE(O80),"Send "&amp;M80&amp;" now","Up to date")))</f>
        <v/>
      </c>
      <c r="R80" s="22"/>
      <c r="S80" s="29" t="n">
        <f aca="false">IF(LEFT(Q80,4)="Send",1,0)</f>
        <v>0</v>
      </c>
      <c r="T80" s="29" t="str">
        <f aca="false">IF(S80=0,"",COUNTIFS($S$5:$S$204,1,$F$5:$F$204,"&lt;"&amp;F80)+COUNTIFS($S$5:$S80,1,$F$5:$F80,F80))</f>
        <v/>
      </c>
    </row>
    <row r="81" customFormat="false" ht="15" hidden="false" customHeight="false" outlineLevel="0" collapsed="false">
      <c r="A81" s="22"/>
      <c r="B81" s="22"/>
      <c r="C81" s="22"/>
      <c r="D81" s="26"/>
      <c r="E81" s="22"/>
      <c r="F81" s="28" t="str">
        <f aca="false">IF(D81="","",D81+IF(E81="",Settings!$C$7,E81))</f>
        <v/>
      </c>
      <c r="G81" s="23"/>
      <c r="H81" s="23"/>
      <c r="I81" s="26"/>
      <c r="J81" s="25" t="str">
        <f aca="false">IF(G81="","",G81-N(H81))</f>
        <v/>
      </c>
      <c r="K81" s="21" t="str">
        <f aca="false">IF(OR(G81="",F81=""),"",IF(J81&lt;=0,"Paid",IF(Settings!$C$6&lt;F81,IF(N(H81)&gt;0,"Part-paid","Not due"),IF(Settings!$C$6=F81,"Due today","Overdue"))))</f>
        <v/>
      </c>
      <c r="L81" s="27" t="str">
        <f aca="false">IF(OR(G81="",F81=""),"",IF(J81&lt;=0,"",MAX(0,Settings!$C$6-F81)))</f>
        <v/>
      </c>
      <c r="M81" s="31" t="str">
        <f aca="false">IF(OR(G81="",F81=""),"",IF(J81&lt;=0,"Paid",IF(Settings!$C$6&gt;=F81+Settings!$P$18,"E",IF(Settings!$C$6&gt;=F81+Settings!$P$17,"D",IF(Settings!$C$6&gt;=F81+Settings!$P$16,"C",IF(Settings!$C$6&gt;=F81+Settings!$P$15,"B",IF(Settings!$C$6&gt;=F81+Settings!$P$14,"A","—")))))))</f>
        <v/>
      </c>
      <c r="N81" s="28" t="str">
        <f aca="false">IF(OR(G81="",F81="",J81&lt;=0),"",IF(Settings!$C$6&lt;F81+Settings!$P$14,F81+Settings!$P$14,IF(Settings!$C$6&lt;F81+Settings!$P$15,F81+Settings!$P$15,IF(Settings!$C$6&lt;F81+Settings!$P$16,F81+Settings!$P$16,IF(Settings!$C$6&lt;F81+Settings!$P$17,F81+Settings!$P$17,IF(Settings!$C$6&lt;F81+Settings!$P$18,F81+Settings!$P$18,""))))))</f>
        <v/>
      </c>
      <c r="O81" s="22"/>
      <c r="P81" s="26"/>
      <c r="Q81" s="21" t="str">
        <f aca="false">IF(OR(M81="",M81="Paid",M81="—"),IF(M81="Paid","Paid ✓",""),IF(O81="","Send "&amp;M81&amp;" now",IF(CODE(M81)&gt;CODE(O81),"Send "&amp;M81&amp;" now","Up to date")))</f>
        <v/>
      </c>
      <c r="R81" s="22"/>
      <c r="S81" s="29" t="n">
        <f aca="false">IF(LEFT(Q81,4)="Send",1,0)</f>
        <v>0</v>
      </c>
      <c r="T81" s="29" t="str">
        <f aca="false">IF(S81=0,"",COUNTIFS($S$5:$S$204,1,$F$5:$F$204,"&lt;"&amp;F81)+COUNTIFS($S$5:$S81,1,$F$5:$F81,F81))</f>
        <v/>
      </c>
    </row>
    <row r="82" customFormat="false" ht="15" hidden="false" customHeight="false" outlineLevel="0" collapsed="false">
      <c r="A82" s="22"/>
      <c r="B82" s="22"/>
      <c r="C82" s="22"/>
      <c r="D82" s="26"/>
      <c r="E82" s="22"/>
      <c r="F82" s="28" t="str">
        <f aca="false">IF(D82="","",D82+IF(E82="",Settings!$C$7,E82))</f>
        <v/>
      </c>
      <c r="G82" s="23"/>
      <c r="H82" s="23"/>
      <c r="I82" s="26"/>
      <c r="J82" s="25" t="str">
        <f aca="false">IF(G82="","",G82-N(H82))</f>
        <v/>
      </c>
      <c r="K82" s="21" t="str">
        <f aca="false">IF(OR(G82="",F82=""),"",IF(J82&lt;=0,"Paid",IF(Settings!$C$6&lt;F82,IF(N(H82)&gt;0,"Part-paid","Not due"),IF(Settings!$C$6=F82,"Due today","Overdue"))))</f>
        <v/>
      </c>
      <c r="L82" s="27" t="str">
        <f aca="false">IF(OR(G82="",F82=""),"",IF(J82&lt;=0,"",MAX(0,Settings!$C$6-F82)))</f>
        <v/>
      </c>
      <c r="M82" s="31" t="str">
        <f aca="false">IF(OR(G82="",F82=""),"",IF(J82&lt;=0,"Paid",IF(Settings!$C$6&gt;=F82+Settings!$P$18,"E",IF(Settings!$C$6&gt;=F82+Settings!$P$17,"D",IF(Settings!$C$6&gt;=F82+Settings!$P$16,"C",IF(Settings!$C$6&gt;=F82+Settings!$P$15,"B",IF(Settings!$C$6&gt;=F82+Settings!$P$14,"A","—")))))))</f>
        <v/>
      </c>
      <c r="N82" s="28" t="str">
        <f aca="false">IF(OR(G82="",F82="",J82&lt;=0),"",IF(Settings!$C$6&lt;F82+Settings!$P$14,F82+Settings!$P$14,IF(Settings!$C$6&lt;F82+Settings!$P$15,F82+Settings!$P$15,IF(Settings!$C$6&lt;F82+Settings!$P$16,F82+Settings!$P$16,IF(Settings!$C$6&lt;F82+Settings!$P$17,F82+Settings!$P$17,IF(Settings!$C$6&lt;F82+Settings!$P$18,F82+Settings!$P$18,""))))))</f>
        <v/>
      </c>
      <c r="O82" s="22"/>
      <c r="P82" s="26"/>
      <c r="Q82" s="21" t="str">
        <f aca="false">IF(OR(M82="",M82="Paid",M82="—"),IF(M82="Paid","Paid ✓",""),IF(O82="","Send "&amp;M82&amp;" now",IF(CODE(M82)&gt;CODE(O82),"Send "&amp;M82&amp;" now","Up to date")))</f>
        <v/>
      </c>
      <c r="R82" s="22"/>
      <c r="S82" s="29" t="n">
        <f aca="false">IF(LEFT(Q82,4)="Send",1,0)</f>
        <v>0</v>
      </c>
      <c r="T82" s="29" t="str">
        <f aca="false">IF(S82=0,"",COUNTIFS($S$5:$S$204,1,$F$5:$F$204,"&lt;"&amp;F82)+COUNTIFS($S$5:$S82,1,$F$5:$F82,F82))</f>
        <v/>
      </c>
    </row>
    <row r="83" customFormat="false" ht="15" hidden="false" customHeight="false" outlineLevel="0" collapsed="false">
      <c r="A83" s="22"/>
      <c r="B83" s="22"/>
      <c r="C83" s="22"/>
      <c r="D83" s="26"/>
      <c r="E83" s="22"/>
      <c r="F83" s="28" t="str">
        <f aca="false">IF(D83="","",D83+IF(E83="",Settings!$C$7,E83))</f>
        <v/>
      </c>
      <c r="G83" s="23"/>
      <c r="H83" s="23"/>
      <c r="I83" s="26"/>
      <c r="J83" s="25" t="str">
        <f aca="false">IF(G83="","",G83-N(H83))</f>
        <v/>
      </c>
      <c r="K83" s="21" t="str">
        <f aca="false">IF(OR(G83="",F83=""),"",IF(J83&lt;=0,"Paid",IF(Settings!$C$6&lt;F83,IF(N(H83)&gt;0,"Part-paid","Not due"),IF(Settings!$C$6=F83,"Due today","Overdue"))))</f>
        <v/>
      </c>
      <c r="L83" s="27" t="str">
        <f aca="false">IF(OR(G83="",F83=""),"",IF(J83&lt;=0,"",MAX(0,Settings!$C$6-F83)))</f>
        <v/>
      </c>
      <c r="M83" s="31" t="str">
        <f aca="false">IF(OR(G83="",F83=""),"",IF(J83&lt;=0,"Paid",IF(Settings!$C$6&gt;=F83+Settings!$P$18,"E",IF(Settings!$C$6&gt;=F83+Settings!$P$17,"D",IF(Settings!$C$6&gt;=F83+Settings!$P$16,"C",IF(Settings!$C$6&gt;=F83+Settings!$P$15,"B",IF(Settings!$C$6&gt;=F83+Settings!$P$14,"A","—")))))))</f>
        <v/>
      </c>
      <c r="N83" s="28" t="str">
        <f aca="false">IF(OR(G83="",F83="",J83&lt;=0),"",IF(Settings!$C$6&lt;F83+Settings!$P$14,F83+Settings!$P$14,IF(Settings!$C$6&lt;F83+Settings!$P$15,F83+Settings!$P$15,IF(Settings!$C$6&lt;F83+Settings!$P$16,F83+Settings!$P$16,IF(Settings!$C$6&lt;F83+Settings!$P$17,F83+Settings!$P$17,IF(Settings!$C$6&lt;F83+Settings!$P$18,F83+Settings!$P$18,""))))))</f>
        <v/>
      </c>
      <c r="O83" s="22"/>
      <c r="P83" s="26"/>
      <c r="Q83" s="21" t="str">
        <f aca="false">IF(OR(M83="",M83="Paid",M83="—"),IF(M83="Paid","Paid ✓",""),IF(O83="","Send "&amp;M83&amp;" now",IF(CODE(M83)&gt;CODE(O83),"Send "&amp;M83&amp;" now","Up to date")))</f>
        <v/>
      </c>
      <c r="R83" s="22"/>
      <c r="S83" s="29" t="n">
        <f aca="false">IF(LEFT(Q83,4)="Send",1,0)</f>
        <v>0</v>
      </c>
      <c r="T83" s="29" t="str">
        <f aca="false">IF(S83=0,"",COUNTIFS($S$5:$S$204,1,$F$5:$F$204,"&lt;"&amp;F83)+COUNTIFS($S$5:$S83,1,$F$5:$F83,F83))</f>
        <v/>
      </c>
    </row>
    <row r="84" customFormat="false" ht="15" hidden="false" customHeight="false" outlineLevel="0" collapsed="false">
      <c r="A84" s="22"/>
      <c r="B84" s="22"/>
      <c r="C84" s="22"/>
      <c r="D84" s="26"/>
      <c r="E84" s="22"/>
      <c r="F84" s="28" t="str">
        <f aca="false">IF(D84="","",D84+IF(E84="",Settings!$C$7,E84))</f>
        <v/>
      </c>
      <c r="G84" s="23"/>
      <c r="H84" s="23"/>
      <c r="I84" s="26"/>
      <c r="J84" s="25" t="str">
        <f aca="false">IF(G84="","",G84-N(H84))</f>
        <v/>
      </c>
      <c r="K84" s="21" t="str">
        <f aca="false">IF(OR(G84="",F84=""),"",IF(J84&lt;=0,"Paid",IF(Settings!$C$6&lt;F84,IF(N(H84)&gt;0,"Part-paid","Not due"),IF(Settings!$C$6=F84,"Due today","Overdue"))))</f>
        <v/>
      </c>
      <c r="L84" s="27" t="str">
        <f aca="false">IF(OR(G84="",F84=""),"",IF(J84&lt;=0,"",MAX(0,Settings!$C$6-F84)))</f>
        <v/>
      </c>
      <c r="M84" s="31" t="str">
        <f aca="false">IF(OR(G84="",F84=""),"",IF(J84&lt;=0,"Paid",IF(Settings!$C$6&gt;=F84+Settings!$P$18,"E",IF(Settings!$C$6&gt;=F84+Settings!$P$17,"D",IF(Settings!$C$6&gt;=F84+Settings!$P$16,"C",IF(Settings!$C$6&gt;=F84+Settings!$P$15,"B",IF(Settings!$C$6&gt;=F84+Settings!$P$14,"A","—")))))))</f>
        <v/>
      </c>
      <c r="N84" s="28" t="str">
        <f aca="false">IF(OR(G84="",F84="",J84&lt;=0),"",IF(Settings!$C$6&lt;F84+Settings!$P$14,F84+Settings!$P$14,IF(Settings!$C$6&lt;F84+Settings!$P$15,F84+Settings!$P$15,IF(Settings!$C$6&lt;F84+Settings!$P$16,F84+Settings!$P$16,IF(Settings!$C$6&lt;F84+Settings!$P$17,F84+Settings!$P$17,IF(Settings!$C$6&lt;F84+Settings!$P$18,F84+Settings!$P$18,""))))))</f>
        <v/>
      </c>
      <c r="O84" s="22"/>
      <c r="P84" s="26"/>
      <c r="Q84" s="21" t="str">
        <f aca="false">IF(OR(M84="",M84="Paid",M84="—"),IF(M84="Paid","Paid ✓",""),IF(O84="","Send "&amp;M84&amp;" now",IF(CODE(M84)&gt;CODE(O84),"Send "&amp;M84&amp;" now","Up to date")))</f>
        <v/>
      </c>
      <c r="R84" s="22"/>
      <c r="S84" s="29" t="n">
        <f aca="false">IF(LEFT(Q84,4)="Send",1,0)</f>
        <v>0</v>
      </c>
      <c r="T84" s="29" t="str">
        <f aca="false">IF(S84=0,"",COUNTIFS($S$5:$S$204,1,$F$5:$F$204,"&lt;"&amp;F84)+COUNTIFS($S$5:$S84,1,$F$5:$F84,F84))</f>
        <v/>
      </c>
    </row>
    <row r="85" customFormat="false" ht="15" hidden="false" customHeight="false" outlineLevel="0" collapsed="false">
      <c r="A85" s="22"/>
      <c r="B85" s="22"/>
      <c r="C85" s="22"/>
      <c r="D85" s="26"/>
      <c r="E85" s="22"/>
      <c r="F85" s="28" t="str">
        <f aca="false">IF(D85="","",D85+IF(E85="",Settings!$C$7,E85))</f>
        <v/>
      </c>
      <c r="G85" s="23"/>
      <c r="H85" s="23"/>
      <c r="I85" s="26"/>
      <c r="J85" s="25" t="str">
        <f aca="false">IF(G85="","",G85-N(H85))</f>
        <v/>
      </c>
      <c r="K85" s="21" t="str">
        <f aca="false">IF(OR(G85="",F85=""),"",IF(J85&lt;=0,"Paid",IF(Settings!$C$6&lt;F85,IF(N(H85)&gt;0,"Part-paid","Not due"),IF(Settings!$C$6=F85,"Due today","Overdue"))))</f>
        <v/>
      </c>
      <c r="L85" s="27" t="str">
        <f aca="false">IF(OR(G85="",F85=""),"",IF(J85&lt;=0,"",MAX(0,Settings!$C$6-F85)))</f>
        <v/>
      </c>
      <c r="M85" s="31" t="str">
        <f aca="false">IF(OR(G85="",F85=""),"",IF(J85&lt;=0,"Paid",IF(Settings!$C$6&gt;=F85+Settings!$P$18,"E",IF(Settings!$C$6&gt;=F85+Settings!$P$17,"D",IF(Settings!$C$6&gt;=F85+Settings!$P$16,"C",IF(Settings!$C$6&gt;=F85+Settings!$P$15,"B",IF(Settings!$C$6&gt;=F85+Settings!$P$14,"A","—")))))))</f>
        <v/>
      </c>
      <c r="N85" s="28" t="str">
        <f aca="false">IF(OR(G85="",F85="",J85&lt;=0),"",IF(Settings!$C$6&lt;F85+Settings!$P$14,F85+Settings!$P$14,IF(Settings!$C$6&lt;F85+Settings!$P$15,F85+Settings!$P$15,IF(Settings!$C$6&lt;F85+Settings!$P$16,F85+Settings!$P$16,IF(Settings!$C$6&lt;F85+Settings!$P$17,F85+Settings!$P$17,IF(Settings!$C$6&lt;F85+Settings!$P$18,F85+Settings!$P$18,""))))))</f>
        <v/>
      </c>
      <c r="O85" s="22"/>
      <c r="P85" s="26"/>
      <c r="Q85" s="21" t="str">
        <f aca="false">IF(OR(M85="",M85="Paid",M85="—"),IF(M85="Paid","Paid ✓",""),IF(O85="","Send "&amp;M85&amp;" now",IF(CODE(M85)&gt;CODE(O85),"Send "&amp;M85&amp;" now","Up to date")))</f>
        <v/>
      </c>
      <c r="R85" s="22"/>
      <c r="S85" s="29" t="n">
        <f aca="false">IF(LEFT(Q85,4)="Send",1,0)</f>
        <v>0</v>
      </c>
      <c r="T85" s="29" t="str">
        <f aca="false">IF(S85=0,"",COUNTIFS($S$5:$S$204,1,$F$5:$F$204,"&lt;"&amp;F85)+COUNTIFS($S$5:$S85,1,$F$5:$F85,F85))</f>
        <v/>
      </c>
    </row>
    <row r="86" customFormat="false" ht="15" hidden="false" customHeight="false" outlineLevel="0" collapsed="false">
      <c r="A86" s="22"/>
      <c r="B86" s="22"/>
      <c r="C86" s="22"/>
      <c r="D86" s="26"/>
      <c r="E86" s="22"/>
      <c r="F86" s="28" t="str">
        <f aca="false">IF(D86="","",D86+IF(E86="",Settings!$C$7,E86))</f>
        <v/>
      </c>
      <c r="G86" s="23"/>
      <c r="H86" s="23"/>
      <c r="I86" s="26"/>
      <c r="J86" s="25" t="str">
        <f aca="false">IF(G86="","",G86-N(H86))</f>
        <v/>
      </c>
      <c r="K86" s="21" t="str">
        <f aca="false">IF(OR(G86="",F86=""),"",IF(J86&lt;=0,"Paid",IF(Settings!$C$6&lt;F86,IF(N(H86)&gt;0,"Part-paid","Not due"),IF(Settings!$C$6=F86,"Due today","Overdue"))))</f>
        <v/>
      </c>
      <c r="L86" s="27" t="str">
        <f aca="false">IF(OR(G86="",F86=""),"",IF(J86&lt;=0,"",MAX(0,Settings!$C$6-F86)))</f>
        <v/>
      </c>
      <c r="M86" s="31" t="str">
        <f aca="false">IF(OR(G86="",F86=""),"",IF(J86&lt;=0,"Paid",IF(Settings!$C$6&gt;=F86+Settings!$P$18,"E",IF(Settings!$C$6&gt;=F86+Settings!$P$17,"D",IF(Settings!$C$6&gt;=F86+Settings!$P$16,"C",IF(Settings!$C$6&gt;=F86+Settings!$P$15,"B",IF(Settings!$C$6&gt;=F86+Settings!$P$14,"A","—")))))))</f>
        <v/>
      </c>
      <c r="N86" s="28" t="str">
        <f aca="false">IF(OR(G86="",F86="",J86&lt;=0),"",IF(Settings!$C$6&lt;F86+Settings!$P$14,F86+Settings!$P$14,IF(Settings!$C$6&lt;F86+Settings!$P$15,F86+Settings!$P$15,IF(Settings!$C$6&lt;F86+Settings!$P$16,F86+Settings!$P$16,IF(Settings!$C$6&lt;F86+Settings!$P$17,F86+Settings!$P$17,IF(Settings!$C$6&lt;F86+Settings!$P$18,F86+Settings!$P$18,""))))))</f>
        <v/>
      </c>
      <c r="O86" s="22"/>
      <c r="P86" s="26"/>
      <c r="Q86" s="21" t="str">
        <f aca="false">IF(OR(M86="",M86="Paid",M86="—"),IF(M86="Paid","Paid ✓",""),IF(O86="","Send "&amp;M86&amp;" now",IF(CODE(M86)&gt;CODE(O86),"Send "&amp;M86&amp;" now","Up to date")))</f>
        <v/>
      </c>
      <c r="R86" s="22"/>
      <c r="S86" s="29" t="n">
        <f aca="false">IF(LEFT(Q86,4)="Send",1,0)</f>
        <v>0</v>
      </c>
      <c r="T86" s="29" t="str">
        <f aca="false">IF(S86=0,"",COUNTIFS($S$5:$S$204,1,$F$5:$F$204,"&lt;"&amp;F86)+COUNTIFS($S$5:$S86,1,$F$5:$F86,F86))</f>
        <v/>
      </c>
    </row>
    <row r="87" customFormat="false" ht="15" hidden="false" customHeight="false" outlineLevel="0" collapsed="false">
      <c r="A87" s="22"/>
      <c r="B87" s="22"/>
      <c r="C87" s="22"/>
      <c r="D87" s="26"/>
      <c r="E87" s="22"/>
      <c r="F87" s="28" t="str">
        <f aca="false">IF(D87="","",D87+IF(E87="",Settings!$C$7,E87))</f>
        <v/>
      </c>
      <c r="G87" s="23"/>
      <c r="H87" s="23"/>
      <c r="I87" s="26"/>
      <c r="J87" s="25" t="str">
        <f aca="false">IF(G87="","",G87-N(H87))</f>
        <v/>
      </c>
      <c r="K87" s="21" t="str">
        <f aca="false">IF(OR(G87="",F87=""),"",IF(J87&lt;=0,"Paid",IF(Settings!$C$6&lt;F87,IF(N(H87)&gt;0,"Part-paid","Not due"),IF(Settings!$C$6=F87,"Due today","Overdue"))))</f>
        <v/>
      </c>
      <c r="L87" s="27" t="str">
        <f aca="false">IF(OR(G87="",F87=""),"",IF(J87&lt;=0,"",MAX(0,Settings!$C$6-F87)))</f>
        <v/>
      </c>
      <c r="M87" s="31" t="str">
        <f aca="false">IF(OR(G87="",F87=""),"",IF(J87&lt;=0,"Paid",IF(Settings!$C$6&gt;=F87+Settings!$P$18,"E",IF(Settings!$C$6&gt;=F87+Settings!$P$17,"D",IF(Settings!$C$6&gt;=F87+Settings!$P$16,"C",IF(Settings!$C$6&gt;=F87+Settings!$P$15,"B",IF(Settings!$C$6&gt;=F87+Settings!$P$14,"A","—")))))))</f>
        <v/>
      </c>
      <c r="N87" s="28" t="str">
        <f aca="false">IF(OR(G87="",F87="",J87&lt;=0),"",IF(Settings!$C$6&lt;F87+Settings!$P$14,F87+Settings!$P$14,IF(Settings!$C$6&lt;F87+Settings!$P$15,F87+Settings!$P$15,IF(Settings!$C$6&lt;F87+Settings!$P$16,F87+Settings!$P$16,IF(Settings!$C$6&lt;F87+Settings!$P$17,F87+Settings!$P$17,IF(Settings!$C$6&lt;F87+Settings!$P$18,F87+Settings!$P$18,""))))))</f>
        <v/>
      </c>
      <c r="O87" s="22"/>
      <c r="P87" s="26"/>
      <c r="Q87" s="21" t="str">
        <f aca="false">IF(OR(M87="",M87="Paid",M87="—"),IF(M87="Paid","Paid ✓",""),IF(O87="","Send "&amp;M87&amp;" now",IF(CODE(M87)&gt;CODE(O87),"Send "&amp;M87&amp;" now","Up to date")))</f>
        <v/>
      </c>
      <c r="R87" s="22"/>
      <c r="S87" s="29" t="n">
        <f aca="false">IF(LEFT(Q87,4)="Send",1,0)</f>
        <v>0</v>
      </c>
      <c r="T87" s="29" t="str">
        <f aca="false">IF(S87=0,"",COUNTIFS($S$5:$S$204,1,$F$5:$F$204,"&lt;"&amp;F87)+COUNTIFS($S$5:$S87,1,$F$5:$F87,F87))</f>
        <v/>
      </c>
    </row>
    <row r="88" customFormat="false" ht="15" hidden="false" customHeight="false" outlineLevel="0" collapsed="false">
      <c r="A88" s="22"/>
      <c r="B88" s="22"/>
      <c r="C88" s="22"/>
      <c r="D88" s="26"/>
      <c r="E88" s="22"/>
      <c r="F88" s="28" t="str">
        <f aca="false">IF(D88="","",D88+IF(E88="",Settings!$C$7,E88))</f>
        <v/>
      </c>
      <c r="G88" s="23"/>
      <c r="H88" s="23"/>
      <c r="I88" s="26"/>
      <c r="J88" s="25" t="str">
        <f aca="false">IF(G88="","",G88-N(H88))</f>
        <v/>
      </c>
      <c r="K88" s="21" t="str">
        <f aca="false">IF(OR(G88="",F88=""),"",IF(J88&lt;=0,"Paid",IF(Settings!$C$6&lt;F88,IF(N(H88)&gt;0,"Part-paid","Not due"),IF(Settings!$C$6=F88,"Due today","Overdue"))))</f>
        <v/>
      </c>
      <c r="L88" s="27" t="str">
        <f aca="false">IF(OR(G88="",F88=""),"",IF(J88&lt;=0,"",MAX(0,Settings!$C$6-F88)))</f>
        <v/>
      </c>
      <c r="M88" s="31" t="str">
        <f aca="false">IF(OR(G88="",F88=""),"",IF(J88&lt;=0,"Paid",IF(Settings!$C$6&gt;=F88+Settings!$P$18,"E",IF(Settings!$C$6&gt;=F88+Settings!$P$17,"D",IF(Settings!$C$6&gt;=F88+Settings!$P$16,"C",IF(Settings!$C$6&gt;=F88+Settings!$P$15,"B",IF(Settings!$C$6&gt;=F88+Settings!$P$14,"A","—")))))))</f>
        <v/>
      </c>
      <c r="N88" s="28" t="str">
        <f aca="false">IF(OR(G88="",F88="",J88&lt;=0),"",IF(Settings!$C$6&lt;F88+Settings!$P$14,F88+Settings!$P$14,IF(Settings!$C$6&lt;F88+Settings!$P$15,F88+Settings!$P$15,IF(Settings!$C$6&lt;F88+Settings!$P$16,F88+Settings!$P$16,IF(Settings!$C$6&lt;F88+Settings!$P$17,F88+Settings!$P$17,IF(Settings!$C$6&lt;F88+Settings!$P$18,F88+Settings!$P$18,""))))))</f>
        <v/>
      </c>
      <c r="O88" s="22"/>
      <c r="P88" s="26"/>
      <c r="Q88" s="21" t="str">
        <f aca="false">IF(OR(M88="",M88="Paid",M88="—"),IF(M88="Paid","Paid ✓",""),IF(O88="","Send "&amp;M88&amp;" now",IF(CODE(M88)&gt;CODE(O88),"Send "&amp;M88&amp;" now","Up to date")))</f>
        <v/>
      </c>
      <c r="R88" s="22"/>
      <c r="S88" s="29" t="n">
        <f aca="false">IF(LEFT(Q88,4)="Send",1,0)</f>
        <v>0</v>
      </c>
      <c r="T88" s="29" t="str">
        <f aca="false">IF(S88=0,"",COUNTIFS($S$5:$S$204,1,$F$5:$F$204,"&lt;"&amp;F88)+COUNTIFS($S$5:$S88,1,$F$5:$F88,F88))</f>
        <v/>
      </c>
    </row>
    <row r="89" customFormat="false" ht="15" hidden="false" customHeight="false" outlineLevel="0" collapsed="false">
      <c r="A89" s="22"/>
      <c r="B89" s="22"/>
      <c r="C89" s="22"/>
      <c r="D89" s="26"/>
      <c r="E89" s="22"/>
      <c r="F89" s="28" t="str">
        <f aca="false">IF(D89="","",D89+IF(E89="",Settings!$C$7,E89))</f>
        <v/>
      </c>
      <c r="G89" s="23"/>
      <c r="H89" s="23"/>
      <c r="I89" s="26"/>
      <c r="J89" s="25" t="str">
        <f aca="false">IF(G89="","",G89-N(H89))</f>
        <v/>
      </c>
      <c r="K89" s="21" t="str">
        <f aca="false">IF(OR(G89="",F89=""),"",IF(J89&lt;=0,"Paid",IF(Settings!$C$6&lt;F89,IF(N(H89)&gt;0,"Part-paid","Not due"),IF(Settings!$C$6=F89,"Due today","Overdue"))))</f>
        <v/>
      </c>
      <c r="L89" s="27" t="str">
        <f aca="false">IF(OR(G89="",F89=""),"",IF(J89&lt;=0,"",MAX(0,Settings!$C$6-F89)))</f>
        <v/>
      </c>
      <c r="M89" s="31" t="str">
        <f aca="false">IF(OR(G89="",F89=""),"",IF(J89&lt;=0,"Paid",IF(Settings!$C$6&gt;=F89+Settings!$P$18,"E",IF(Settings!$C$6&gt;=F89+Settings!$P$17,"D",IF(Settings!$C$6&gt;=F89+Settings!$P$16,"C",IF(Settings!$C$6&gt;=F89+Settings!$P$15,"B",IF(Settings!$C$6&gt;=F89+Settings!$P$14,"A","—")))))))</f>
        <v/>
      </c>
      <c r="N89" s="28" t="str">
        <f aca="false">IF(OR(G89="",F89="",J89&lt;=0),"",IF(Settings!$C$6&lt;F89+Settings!$P$14,F89+Settings!$P$14,IF(Settings!$C$6&lt;F89+Settings!$P$15,F89+Settings!$P$15,IF(Settings!$C$6&lt;F89+Settings!$P$16,F89+Settings!$P$16,IF(Settings!$C$6&lt;F89+Settings!$P$17,F89+Settings!$P$17,IF(Settings!$C$6&lt;F89+Settings!$P$18,F89+Settings!$P$18,""))))))</f>
        <v/>
      </c>
      <c r="O89" s="22"/>
      <c r="P89" s="26"/>
      <c r="Q89" s="21" t="str">
        <f aca="false">IF(OR(M89="",M89="Paid",M89="—"),IF(M89="Paid","Paid ✓",""),IF(O89="","Send "&amp;M89&amp;" now",IF(CODE(M89)&gt;CODE(O89),"Send "&amp;M89&amp;" now","Up to date")))</f>
        <v/>
      </c>
      <c r="R89" s="22"/>
      <c r="S89" s="29" t="n">
        <f aca="false">IF(LEFT(Q89,4)="Send",1,0)</f>
        <v>0</v>
      </c>
      <c r="T89" s="29" t="str">
        <f aca="false">IF(S89=0,"",COUNTIFS($S$5:$S$204,1,$F$5:$F$204,"&lt;"&amp;F89)+COUNTIFS($S$5:$S89,1,$F$5:$F89,F89))</f>
        <v/>
      </c>
    </row>
    <row r="90" customFormat="false" ht="15" hidden="false" customHeight="false" outlineLevel="0" collapsed="false">
      <c r="A90" s="22"/>
      <c r="B90" s="22"/>
      <c r="C90" s="22"/>
      <c r="D90" s="26"/>
      <c r="E90" s="22"/>
      <c r="F90" s="28" t="str">
        <f aca="false">IF(D90="","",D90+IF(E90="",Settings!$C$7,E90))</f>
        <v/>
      </c>
      <c r="G90" s="23"/>
      <c r="H90" s="23"/>
      <c r="I90" s="26"/>
      <c r="J90" s="25" t="str">
        <f aca="false">IF(G90="","",G90-N(H90))</f>
        <v/>
      </c>
      <c r="K90" s="21" t="str">
        <f aca="false">IF(OR(G90="",F90=""),"",IF(J90&lt;=0,"Paid",IF(Settings!$C$6&lt;F90,IF(N(H90)&gt;0,"Part-paid","Not due"),IF(Settings!$C$6=F90,"Due today","Overdue"))))</f>
        <v/>
      </c>
      <c r="L90" s="27" t="str">
        <f aca="false">IF(OR(G90="",F90=""),"",IF(J90&lt;=0,"",MAX(0,Settings!$C$6-F90)))</f>
        <v/>
      </c>
      <c r="M90" s="31" t="str">
        <f aca="false">IF(OR(G90="",F90=""),"",IF(J90&lt;=0,"Paid",IF(Settings!$C$6&gt;=F90+Settings!$P$18,"E",IF(Settings!$C$6&gt;=F90+Settings!$P$17,"D",IF(Settings!$C$6&gt;=F90+Settings!$P$16,"C",IF(Settings!$C$6&gt;=F90+Settings!$P$15,"B",IF(Settings!$C$6&gt;=F90+Settings!$P$14,"A","—")))))))</f>
        <v/>
      </c>
      <c r="N90" s="28" t="str">
        <f aca="false">IF(OR(G90="",F90="",J90&lt;=0),"",IF(Settings!$C$6&lt;F90+Settings!$P$14,F90+Settings!$P$14,IF(Settings!$C$6&lt;F90+Settings!$P$15,F90+Settings!$P$15,IF(Settings!$C$6&lt;F90+Settings!$P$16,F90+Settings!$P$16,IF(Settings!$C$6&lt;F90+Settings!$P$17,F90+Settings!$P$17,IF(Settings!$C$6&lt;F90+Settings!$P$18,F90+Settings!$P$18,""))))))</f>
        <v/>
      </c>
      <c r="O90" s="22"/>
      <c r="P90" s="26"/>
      <c r="Q90" s="21" t="str">
        <f aca="false">IF(OR(M90="",M90="Paid",M90="—"),IF(M90="Paid","Paid ✓",""),IF(O90="","Send "&amp;M90&amp;" now",IF(CODE(M90)&gt;CODE(O90),"Send "&amp;M90&amp;" now","Up to date")))</f>
        <v/>
      </c>
      <c r="R90" s="22"/>
      <c r="S90" s="29" t="n">
        <f aca="false">IF(LEFT(Q90,4)="Send",1,0)</f>
        <v>0</v>
      </c>
      <c r="T90" s="29" t="str">
        <f aca="false">IF(S90=0,"",COUNTIFS($S$5:$S$204,1,$F$5:$F$204,"&lt;"&amp;F90)+COUNTIFS($S$5:$S90,1,$F$5:$F90,F90))</f>
        <v/>
      </c>
    </row>
    <row r="91" customFormat="false" ht="15" hidden="false" customHeight="false" outlineLevel="0" collapsed="false">
      <c r="A91" s="22"/>
      <c r="B91" s="22"/>
      <c r="C91" s="22"/>
      <c r="D91" s="26"/>
      <c r="E91" s="22"/>
      <c r="F91" s="28" t="str">
        <f aca="false">IF(D91="","",D91+IF(E91="",Settings!$C$7,E91))</f>
        <v/>
      </c>
      <c r="G91" s="23"/>
      <c r="H91" s="23"/>
      <c r="I91" s="26"/>
      <c r="J91" s="25" t="str">
        <f aca="false">IF(G91="","",G91-N(H91))</f>
        <v/>
      </c>
      <c r="K91" s="21" t="str">
        <f aca="false">IF(OR(G91="",F91=""),"",IF(J91&lt;=0,"Paid",IF(Settings!$C$6&lt;F91,IF(N(H91)&gt;0,"Part-paid","Not due"),IF(Settings!$C$6=F91,"Due today","Overdue"))))</f>
        <v/>
      </c>
      <c r="L91" s="27" t="str">
        <f aca="false">IF(OR(G91="",F91=""),"",IF(J91&lt;=0,"",MAX(0,Settings!$C$6-F91)))</f>
        <v/>
      </c>
      <c r="M91" s="31" t="str">
        <f aca="false">IF(OR(G91="",F91=""),"",IF(J91&lt;=0,"Paid",IF(Settings!$C$6&gt;=F91+Settings!$P$18,"E",IF(Settings!$C$6&gt;=F91+Settings!$P$17,"D",IF(Settings!$C$6&gt;=F91+Settings!$P$16,"C",IF(Settings!$C$6&gt;=F91+Settings!$P$15,"B",IF(Settings!$C$6&gt;=F91+Settings!$P$14,"A","—")))))))</f>
        <v/>
      </c>
      <c r="N91" s="28" t="str">
        <f aca="false">IF(OR(G91="",F91="",J91&lt;=0),"",IF(Settings!$C$6&lt;F91+Settings!$P$14,F91+Settings!$P$14,IF(Settings!$C$6&lt;F91+Settings!$P$15,F91+Settings!$P$15,IF(Settings!$C$6&lt;F91+Settings!$P$16,F91+Settings!$P$16,IF(Settings!$C$6&lt;F91+Settings!$P$17,F91+Settings!$P$17,IF(Settings!$C$6&lt;F91+Settings!$P$18,F91+Settings!$P$18,""))))))</f>
        <v/>
      </c>
      <c r="O91" s="22"/>
      <c r="P91" s="26"/>
      <c r="Q91" s="21" t="str">
        <f aca="false">IF(OR(M91="",M91="Paid",M91="—"),IF(M91="Paid","Paid ✓",""),IF(O91="","Send "&amp;M91&amp;" now",IF(CODE(M91)&gt;CODE(O91),"Send "&amp;M91&amp;" now","Up to date")))</f>
        <v/>
      </c>
      <c r="R91" s="22"/>
      <c r="S91" s="29" t="n">
        <f aca="false">IF(LEFT(Q91,4)="Send",1,0)</f>
        <v>0</v>
      </c>
      <c r="T91" s="29" t="str">
        <f aca="false">IF(S91=0,"",COUNTIFS($S$5:$S$204,1,$F$5:$F$204,"&lt;"&amp;F91)+COUNTIFS($S$5:$S91,1,$F$5:$F91,F91))</f>
        <v/>
      </c>
    </row>
    <row r="92" customFormat="false" ht="15" hidden="false" customHeight="false" outlineLevel="0" collapsed="false">
      <c r="A92" s="22"/>
      <c r="B92" s="22"/>
      <c r="C92" s="22"/>
      <c r="D92" s="26"/>
      <c r="E92" s="22"/>
      <c r="F92" s="28" t="str">
        <f aca="false">IF(D92="","",D92+IF(E92="",Settings!$C$7,E92))</f>
        <v/>
      </c>
      <c r="G92" s="23"/>
      <c r="H92" s="23"/>
      <c r="I92" s="26"/>
      <c r="J92" s="25" t="str">
        <f aca="false">IF(G92="","",G92-N(H92))</f>
        <v/>
      </c>
      <c r="K92" s="21" t="str">
        <f aca="false">IF(OR(G92="",F92=""),"",IF(J92&lt;=0,"Paid",IF(Settings!$C$6&lt;F92,IF(N(H92)&gt;0,"Part-paid","Not due"),IF(Settings!$C$6=F92,"Due today","Overdue"))))</f>
        <v/>
      </c>
      <c r="L92" s="27" t="str">
        <f aca="false">IF(OR(G92="",F92=""),"",IF(J92&lt;=0,"",MAX(0,Settings!$C$6-F92)))</f>
        <v/>
      </c>
      <c r="M92" s="31" t="str">
        <f aca="false">IF(OR(G92="",F92=""),"",IF(J92&lt;=0,"Paid",IF(Settings!$C$6&gt;=F92+Settings!$P$18,"E",IF(Settings!$C$6&gt;=F92+Settings!$P$17,"D",IF(Settings!$C$6&gt;=F92+Settings!$P$16,"C",IF(Settings!$C$6&gt;=F92+Settings!$P$15,"B",IF(Settings!$C$6&gt;=F92+Settings!$P$14,"A","—")))))))</f>
        <v/>
      </c>
      <c r="N92" s="28" t="str">
        <f aca="false">IF(OR(G92="",F92="",J92&lt;=0),"",IF(Settings!$C$6&lt;F92+Settings!$P$14,F92+Settings!$P$14,IF(Settings!$C$6&lt;F92+Settings!$P$15,F92+Settings!$P$15,IF(Settings!$C$6&lt;F92+Settings!$P$16,F92+Settings!$P$16,IF(Settings!$C$6&lt;F92+Settings!$P$17,F92+Settings!$P$17,IF(Settings!$C$6&lt;F92+Settings!$P$18,F92+Settings!$P$18,""))))))</f>
        <v/>
      </c>
      <c r="O92" s="22"/>
      <c r="P92" s="26"/>
      <c r="Q92" s="21" t="str">
        <f aca="false">IF(OR(M92="",M92="Paid",M92="—"),IF(M92="Paid","Paid ✓",""),IF(O92="","Send "&amp;M92&amp;" now",IF(CODE(M92)&gt;CODE(O92),"Send "&amp;M92&amp;" now","Up to date")))</f>
        <v/>
      </c>
      <c r="R92" s="22"/>
      <c r="S92" s="29" t="n">
        <f aca="false">IF(LEFT(Q92,4)="Send",1,0)</f>
        <v>0</v>
      </c>
      <c r="T92" s="29" t="str">
        <f aca="false">IF(S92=0,"",COUNTIFS($S$5:$S$204,1,$F$5:$F$204,"&lt;"&amp;F92)+COUNTIFS($S$5:$S92,1,$F$5:$F92,F92))</f>
        <v/>
      </c>
    </row>
    <row r="93" customFormat="false" ht="15" hidden="false" customHeight="false" outlineLevel="0" collapsed="false">
      <c r="A93" s="22"/>
      <c r="B93" s="22"/>
      <c r="C93" s="22"/>
      <c r="D93" s="26"/>
      <c r="E93" s="22"/>
      <c r="F93" s="28" t="str">
        <f aca="false">IF(D93="","",D93+IF(E93="",Settings!$C$7,E93))</f>
        <v/>
      </c>
      <c r="G93" s="23"/>
      <c r="H93" s="23"/>
      <c r="I93" s="26"/>
      <c r="J93" s="25" t="str">
        <f aca="false">IF(G93="","",G93-N(H93))</f>
        <v/>
      </c>
      <c r="K93" s="21" t="str">
        <f aca="false">IF(OR(G93="",F93=""),"",IF(J93&lt;=0,"Paid",IF(Settings!$C$6&lt;F93,IF(N(H93)&gt;0,"Part-paid","Not due"),IF(Settings!$C$6=F93,"Due today","Overdue"))))</f>
        <v/>
      </c>
      <c r="L93" s="27" t="str">
        <f aca="false">IF(OR(G93="",F93=""),"",IF(J93&lt;=0,"",MAX(0,Settings!$C$6-F93)))</f>
        <v/>
      </c>
      <c r="M93" s="31" t="str">
        <f aca="false">IF(OR(G93="",F93=""),"",IF(J93&lt;=0,"Paid",IF(Settings!$C$6&gt;=F93+Settings!$P$18,"E",IF(Settings!$C$6&gt;=F93+Settings!$P$17,"D",IF(Settings!$C$6&gt;=F93+Settings!$P$16,"C",IF(Settings!$C$6&gt;=F93+Settings!$P$15,"B",IF(Settings!$C$6&gt;=F93+Settings!$P$14,"A","—")))))))</f>
        <v/>
      </c>
      <c r="N93" s="28" t="str">
        <f aca="false">IF(OR(G93="",F93="",J93&lt;=0),"",IF(Settings!$C$6&lt;F93+Settings!$P$14,F93+Settings!$P$14,IF(Settings!$C$6&lt;F93+Settings!$P$15,F93+Settings!$P$15,IF(Settings!$C$6&lt;F93+Settings!$P$16,F93+Settings!$P$16,IF(Settings!$C$6&lt;F93+Settings!$P$17,F93+Settings!$P$17,IF(Settings!$C$6&lt;F93+Settings!$P$18,F93+Settings!$P$18,""))))))</f>
        <v/>
      </c>
      <c r="O93" s="22"/>
      <c r="P93" s="26"/>
      <c r="Q93" s="21" t="str">
        <f aca="false">IF(OR(M93="",M93="Paid",M93="—"),IF(M93="Paid","Paid ✓",""),IF(O93="","Send "&amp;M93&amp;" now",IF(CODE(M93)&gt;CODE(O93),"Send "&amp;M93&amp;" now","Up to date")))</f>
        <v/>
      </c>
      <c r="R93" s="22"/>
      <c r="S93" s="29" t="n">
        <f aca="false">IF(LEFT(Q93,4)="Send",1,0)</f>
        <v>0</v>
      </c>
      <c r="T93" s="29" t="str">
        <f aca="false">IF(S93=0,"",COUNTIFS($S$5:$S$204,1,$F$5:$F$204,"&lt;"&amp;F93)+COUNTIFS($S$5:$S93,1,$F$5:$F93,F93))</f>
        <v/>
      </c>
    </row>
    <row r="94" customFormat="false" ht="15" hidden="false" customHeight="false" outlineLevel="0" collapsed="false">
      <c r="A94" s="22"/>
      <c r="B94" s="22"/>
      <c r="C94" s="22"/>
      <c r="D94" s="26"/>
      <c r="E94" s="22"/>
      <c r="F94" s="28" t="str">
        <f aca="false">IF(D94="","",D94+IF(E94="",Settings!$C$7,E94))</f>
        <v/>
      </c>
      <c r="G94" s="23"/>
      <c r="H94" s="23"/>
      <c r="I94" s="26"/>
      <c r="J94" s="25" t="str">
        <f aca="false">IF(G94="","",G94-N(H94))</f>
        <v/>
      </c>
      <c r="K94" s="21" t="str">
        <f aca="false">IF(OR(G94="",F94=""),"",IF(J94&lt;=0,"Paid",IF(Settings!$C$6&lt;F94,IF(N(H94)&gt;0,"Part-paid","Not due"),IF(Settings!$C$6=F94,"Due today","Overdue"))))</f>
        <v/>
      </c>
      <c r="L94" s="27" t="str">
        <f aca="false">IF(OR(G94="",F94=""),"",IF(J94&lt;=0,"",MAX(0,Settings!$C$6-F94)))</f>
        <v/>
      </c>
      <c r="M94" s="31" t="str">
        <f aca="false">IF(OR(G94="",F94=""),"",IF(J94&lt;=0,"Paid",IF(Settings!$C$6&gt;=F94+Settings!$P$18,"E",IF(Settings!$C$6&gt;=F94+Settings!$P$17,"D",IF(Settings!$C$6&gt;=F94+Settings!$P$16,"C",IF(Settings!$C$6&gt;=F94+Settings!$P$15,"B",IF(Settings!$C$6&gt;=F94+Settings!$P$14,"A","—")))))))</f>
        <v/>
      </c>
      <c r="N94" s="28" t="str">
        <f aca="false">IF(OR(G94="",F94="",J94&lt;=0),"",IF(Settings!$C$6&lt;F94+Settings!$P$14,F94+Settings!$P$14,IF(Settings!$C$6&lt;F94+Settings!$P$15,F94+Settings!$P$15,IF(Settings!$C$6&lt;F94+Settings!$P$16,F94+Settings!$P$16,IF(Settings!$C$6&lt;F94+Settings!$P$17,F94+Settings!$P$17,IF(Settings!$C$6&lt;F94+Settings!$P$18,F94+Settings!$P$18,""))))))</f>
        <v/>
      </c>
      <c r="O94" s="22"/>
      <c r="P94" s="26"/>
      <c r="Q94" s="21" t="str">
        <f aca="false">IF(OR(M94="",M94="Paid",M94="—"),IF(M94="Paid","Paid ✓",""),IF(O94="","Send "&amp;M94&amp;" now",IF(CODE(M94)&gt;CODE(O94),"Send "&amp;M94&amp;" now","Up to date")))</f>
        <v/>
      </c>
      <c r="R94" s="22"/>
      <c r="S94" s="29" t="n">
        <f aca="false">IF(LEFT(Q94,4)="Send",1,0)</f>
        <v>0</v>
      </c>
      <c r="T94" s="29" t="str">
        <f aca="false">IF(S94=0,"",COUNTIFS($S$5:$S$204,1,$F$5:$F$204,"&lt;"&amp;F94)+COUNTIFS($S$5:$S94,1,$F$5:$F94,F94))</f>
        <v/>
      </c>
    </row>
    <row r="95" customFormat="false" ht="15" hidden="false" customHeight="false" outlineLevel="0" collapsed="false">
      <c r="A95" s="22"/>
      <c r="B95" s="22"/>
      <c r="C95" s="22"/>
      <c r="D95" s="26"/>
      <c r="E95" s="22"/>
      <c r="F95" s="28" t="str">
        <f aca="false">IF(D95="","",D95+IF(E95="",Settings!$C$7,E95))</f>
        <v/>
      </c>
      <c r="G95" s="23"/>
      <c r="H95" s="23"/>
      <c r="I95" s="26"/>
      <c r="J95" s="25" t="str">
        <f aca="false">IF(G95="","",G95-N(H95))</f>
        <v/>
      </c>
      <c r="K95" s="21" t="str">
        <f aca="false">IF(OR(G95="",F95=""),"",IF(J95&lt;=0,"Paid",IF(Settings!$C$6&lt;F95,IF(N(H95)&gt;0,"Part-paid","Not due"),IF(Settings!$C$6=F95,"Due today","Overdue"))))</f>
        <v/>
      </c>
      <c r="L95" s="27" t="str">
        <f aca="false">IF(OR(G95="",F95=""),"",IF(J95&lt;=0,"",MAX(0,Settings!$C$6-F95)))</f>
        <v/>
      </c>
      <c r="M95" s="31" t="str">
        <f aca="false">IF(OR(G95="",F95=""),"",IF(J95&lt;=0,"Paid",IF(Settings!$C$6&gt;=F95+Settings!$P$18,"E",IF(Settings!$C$6&gt;=F95+Settings!$P$17,"D",IF(Settings!$C$6&gt;=F95+Settings!$P$16,"C",IF(Settings!$C$6&gt;=F95+Settings!$P$15,"B",IF(Settings!$C$6&gt;=F95+Settings!$P$14,"A","—")))))))</f>
        <v/>
      </c>
      <c r="N95" s="28" t="str">
        <f aca="false">IF(OR(G95="",F95="",J95&lt;=0),"",IF(Settings!$C$6&lt;F95+Settings!$P$14,F95+Settings!$P$14,IF(Settings!$C$6&lt;F95+Settings!$P$15,F95+Settings!$P$15,IF(Settings!$C$6&lt;F95+Settings!$P$16,F95+Settings!$P$16,IF(Settings!$C$6&lt;F95+Settings!$P$17,F95+Settings!$P$17,IF(Settings!$C$6&lt;F95+Settings!$P$18,F95+Settings!$P$18,""))))))</f>
        <v/>
      </c>
      <c r="O95" s="22"/>
      <c r="P95" s="26"/>
      <c r="Q95" s="21" t="str">
        <f aca="false">IF(OR(M95="",M95="Paid",M95="—"),IF(M95="Paid","Paid ✓",""),IF(O95="","Send "&amp;M95&amp;" now",IF(CODE(M95)&gt;CODE(O95),"Send "&amp;M95&amp;" now","Up to date")))</f>
        <v/>
      </c>
      <c r="R95" s="22"/>
      <c r="S95" s="29" t="n">
        <f aca="false">IF(LEFT(Q95,4)="Send",1,0)</f>
        <v>0</v>
      </c>
      <c r="T95" s="29" t="str">
        <f aca="false">IF(S95=0,"",COUNTIFS($S$5:$S$204,1,$F$5:$F$204,"&lt;"&amp;F95)+COUNTIFS($S$5:$S95,1,$F$5:$F95,F95))</f>
        <v/>
      </c>
    </row>
    <row r="96" customFormat="false" ht="15" hidden="false" customHeight="false" outlineLevel="0" collapsed="false">
      <c r="A96" s="22"/>
      <c r="B96" s="22"/>
      <c r="C96" s="22"/>
      <c r="D96" s="26"/>
      <c r="E96" s="22"/>
      <c r="F96" s="28" t="str">
        <f aca="false">IF(D96="","",D96+IF(E96="",Settings!$C$7,E96))</f>
        <v/>
      </c>
      <c r="G96" s="23"/>
      <c r="H96" s="23"/>
      <c r="I96" s="26"/>
      <c r="J96" s="25" t="str">
        <f aca="false">IF(G96="","",G96-N(H96))</f>
        <v/>
      </c>
      <c r="K96" s="21" t="str">
        <f aca="false">IF(OR(G96="",F96=""),"",IF(J96&lt;=0,"Paid",IF(Settings!$C$6&lt;F96,IF(N(H96)&gt;0,"Part-paid","Not due"),IF(Settings!$C$6=F96,"Due today","Overdue"))))</f>
        <v/>
      </c>
      <c r="L96" s="27" t="str">
        <f aca="false">IF(OR(G96="",F96=""),"",IF(J96&lt;=0,"",MAX(0,Settings!$C$6-F96)))</f>
        <v/>
      </c>
      <c r="M96" s="31" t="str">
        <f aca="false">IF(OR(G96="",F96=""),"",IF(J96&lt;=0,"Paid",IF(Settings!$C$6&gt;=F96+Settings!$P$18,"E",IF(Settings!$C$6&gt;=F96+Settings!$P$17,"D",IF(Settings!$C$6&gt;=F96+Settings!$P$16,"C",IF(Settings!$C$6&gt;=F96+Settings!$P$15,"B",IF(Settings!$C$6&gt;=F96+Settings!$P$14,"A","—")))))))</f>
        <v/>
      </c>
      <c r="N96" s="28" t="str">
        <f aca="false">IF(OR(G96="",F96="",J96&lt;=0),"",IF(Settings!$C$6&lt;F96+Settings!$P$14,F96+Settings!$P$14,IF(Settings!$C$6&lt;F96+Settings!$P$15,F96+Settings!$P$15,IF(Settings!$C$6&lt;F96+Settings!$P$16,F96+Settings!$P$16,IF(Settings!$C$6&lt;F96+Settings!$P$17,F96+Settings!$P$17,IF(Settings!$C$6&lt;F96+Settings!$P$18,F96+Settings!$P$18,""))))))</f>
        <v/>
      </c>
      <c r="O96" s="22"/>
      <c r="P96" s="26"/>
      <c r="Q96" s="21" t="str">
        <f aca="false">IF(OR(M96="",M96="Paid",M96="—"),IF(M96="Paid","Paid ✓",""),IF(O96="","Send "&amp;M96&amp;" now",IF(CODE(M96)&gt;CODE(O96),"Send "&amp;M96&amp;" now","Up to date")))</f>
        <v/>
      </c>
      <c r="R96" s="22"/>
      <c r="S96" s="29" t="n">
        <f aca="false">IF(LEFT(Q96,4)="Send",1,0)</f>
        <v>0</v>
      </c>
      <c r="T96" s="29" t="str">
        <f aca="false">IF(S96=0,"",COUNTIFS($S$5:$S$204,1,$F$5:$F$204,"&lt;"&amp;F96)+COUNTIFS($S$5:$S96,1,$F$5:$F96,F96))</f>
        <v/>
      </c>
    </row>
    <row r="97" customFormat="false" ht="15" hidden="false" customHeight="false" outlineLevel="0" collapsed="false">
      <c r="A97" s="22"/>
      <c r="B97" s="22"/>
      <c r="C97" s="22"/>
      <c r="D97" s="26"/>
      <c r="E97" s="22"/>
      <c r="F97" s="28" t="str">
        <f aca="false">IF(D97="","",D97+IF(E97="",Settings!$C$7,E97))</f>
        <v/>
      </c>
      <c r="G97" s="23"/>
      <c r="H97" s="23"/>
      <c r="I97" s="26"/>
      <c r="J97" s="25" t="str">
        <f aca="false">IF(G97="","",G97-N(H97))</f>
        <v/>
      </c>
      <c r="K97" s="21" t="str">
        <f aca="false">IF(OR(G97="",F97=""),"",IF(J97&lt;=0,"Paid",IF(Settings!$C$6&lt;F97,IF(N(H97)&gt;0,"Part-paid","Not due"),IF(Settings!$C$6=F97,"Due today","Overdue"))))</f>
        <v/>
      </c>
      <c r="L97" s="27" t="str">
        <f aca="false">IF(OR(G97="",F97=""),"",IF(J97&lt;=0,"",MAX(0,Settings!$C$6-F97)))</f>
        <v/>
      </c>
      <c r="M97" s="31" t="str">
        <f aca="false">IF(OR(G97="",F97=""),"",IF(J97&lt;=0,"Paid",IF(Settings!$C$6&gt;=F97+Settings!$P$18,"E",IF(Settings!$C$6&gt;=F97+Settings!$P$17,"D",IF(Settings!$C$6&gt;=F97+Settings!$P$16,"C",IF(Settings!$C$6&gt;=F97+Settings!$P$15,"B",IF(Settings!$C$6&gt;=F97+Settings!$P$14,"A","—")))))))</f>
        <v/>
      </c>
      <c r="N97" s="28" t="str">
        <f aca="false">IF(OR(G97="",F97="",J97&lt;=0),"",IF(Settings!$C$6&lt;F97+Settings!$P$14,F97+Settings!$P$14,IF(Settings!$C$6&lt;F97+Settings!$P$15,F97+Settings!$P$15,IF(Settings!$C$6&lt;F97+Settings!$P$16,F97+Settings!$P$16,IF(Settings!$C$6&lt;F97+Settings!$P$17,F97+Settings!$P$17,IF(Settings!$C$6&lt;F97+Settings!$P$18,F97+Settings!$P$18,""))))))</f>
        <v/>
      </c>
      <c r="O97" s="22"/>
      <c r="P97" s="26"/>
      <c r="Q97" s="21" t="str">
        <f aca="false">IF(OR(M97="",M97="Paid",M97="—"),IF(M97="Paid","Paid ✓",""),IF(O97="","Send "&amp;M97&amp;" now",IF(CODE(M97)&gt;CODE(O97),"Send "&amp;M97&amp;" now","Up to date")))</f>
        <v/>
      </c>
      <c r="R97" s="22"/>
      <c r="S97" s="29" t="n">
        <f aca="false">IF(LEFT(Q97,4)="Send",1,0)</f>
        <v>0</v>
      </c>
      <c r="T97" s="29" t="str">
        <f aca="false">IF(S97=0,"",COUNTIFS($S$5:$S$204,1,$F$5:$F$204,"&lt;"&amp;F97)+COUNTIFS($S$5:$S97,1,$F$5:$F97,F97))</f>
        <v/>
      </c>
    </row>
    <row r="98" customFormat="false" ht="15" hidden="false" customHeight="false" outlineLevel="0" collapsed="false">
      <c r="A98" s="22"/>
      <c r="B98" s="22"/>
      <c r="C98" s="22"/>
      <c r="D98" s="26"/>
      <c r="E98" s="22"/>
      <c r="F98" s="28" t="str">
        <f aca="false">IF(D98="","",D98+IF(E98="",Settings!$C$7,E98))</f>
        <v/>
      </c>
      <c r="G98" s="23"/>
      <c r="H98" s="23"/>
      <c r="I98" s="26"/>
      <c r="J98" s="25" t="str">
        <f aca="false">IF(G98="","",G98-N(H98))</f>
        <v/>
      </c>
      <c r="K98" s="21" t="str">
        <f aca="false">IF(OR(G98="",F98=""),"",IF(J98&lt;=0,"Paid",IF(Settings!$C$6&lt;F98,IF(N(H98)&gt;0,"Part-paid","Not due"),IF(Settings!$C$6=F98,"Due today","Overdue"))))</f>
        <v/>
      </c>
      <c r="L98" s="27" t="str">
        <f aca="false">IF(OR(G98="",F98=""),"",IF(J98&lt;=0,"",MAX(0,Settings!$C$6-F98)))</f>
        <v/>
      </c>
      <c r="M98" s="31" t="str">
        <f aca="false">IF(OR(G98="",F98=""),"",IF(J98&lt;=0,"Paid",IF(Settings!$C$6&gt;=F98+Settings!$P$18,"E",IF(Settings!$C$6&gt;=F98+Settings!$P$17,"D",IF(Settings!$C$6&gt;=F98+Settings!$P$16,"C",IF(Settings!$C$6&gt;=F98+Settings!$P$15,"B",IF(Settings!$C$6&gt;=F98+Settings!$P$14,"A","—")))))))</f>
        <v/>
      </c>
      <c r="N98" s="28" t="str">
        <f aca="false">IF(OR(G98="",F98="",J98&lt;=0),"",IF(Settings!$C$6&lt;F98+Settings!$P$14,F98+Settings!$P$14,IF(Settings!$C$6&lt;F98+Settings!$P$15,F98+Settings!$P$15,IF(Settings!$C$6&lt;F98+Settings!$P$16,F98+Settings!$P$16,IF(Settings!$C$6&lt;F98+Settings!$P$17,F98+Settings!$P$17,IF(Settings!$C$6&lt;F98+Settings!$P$18,F98+Settings!$P$18,""))))))</f>
        <v/>
      </c>
      <c r="O98" s="22"/>
      <c r="P98" s="26"/>
      <c r="Q98" s="21" t="str">
        <f aca="false">IF(OR(M98="",M98="Paid",M98="—"),IF(M98="Paid","Paid ✓",""),IF(O98="","Send "&amp;M98&amp;" now",IF(CODE(M98)&gt;CODE(O98),"Send "&amp;M98&amp;" now","Up to date")))</f>
        <v/>
      </c>
      <c r="R98" s="22"/>
      <c r="S98" s="29" t="n">
        <f aca="false">IF(LEFT(Q98,4)="Send",1,0)</f>
        <v>0</v>
      </c>
      <c r="T98" s="29" t="str">
        <f aca="false">IF(S98=0,"",COUNTIFS($S$5:$S$204,1,$F$5:$F$204,"&lt;"&amp;F98)+COUNTIFS($S$5:$S98,1,$F$5:$F98,F98))</f>
        <v/>
      </c>
    </row>
    <row r="99" customFormat="false" ht="15" hidden="false" customHeight="false" outlineLevel="0" collapsed="false">
      <c r="A99" s="22"/>
      <c r="B99" s="22"/>
      <c r="C99" s="22"/>
      <c r="D99" s="26"/>
      <c r="E99" s="22"/>
      <c r="F99" s="28" t="str">
        <f aca="false">IF(D99="","",D99+IF(E99="",Settings!$C$7,E99))</f>
        <v/>
      </c>
      <c r="G99" s="23"/>
      <c r="H99" s="23"/>
      <c r="I99" s="26"/>
      <c r="J99" s="25" t="str">
        <f aca="false">IF(G99="","",G99-N(H99))</f>
        <v/>
      </c>
      <c r="K99" s="21" t="str">
        <f aca="false">IF(OR(G99="",F99=""),"",IF(J99&lt;=0,"Paid",IF(Settings!$C$6&lt;F99,IF(N(H99)&gt;0,"Part-paid","Not due"),IF(Settings!$C$6=F99,"Due today","Overdue"))))</f>
        <v/>
      </c>
      <c r="L99" s="27" t="str">
        <f aca="false">IF(OR(G99="",F99=""),"",IF(J99&lt;=0,"",MAX(0,Settings!$C$6-F99)))</f>
        <v/>
      </c>
      <c r="M99" s="31" t="str">
        <f aca="false">IF(OR(G99="",F99=""),"",IF(J99&lt;=0,"Paid",IF(Settings!$C$6&gt;=F99+Settings!$P$18,"E",IF(Settings!$C$6&gt;=F99+Settings!$P$17,"D",IF(Settings!$C$6&gt;=F99+Settings!$P$16,"C",IF(Settings!$C$6&gt;=F99+Settings!$P$15,"B",IF(Settings!$C$6&gt;=F99+Settings!$P$14,"A","—")))))))</f>
        <v/>
      </c>
      <c r="N99" s="28" t="str">
        <f aca="false">IF(OR(G99="",F99="",J99&lt;=0),"",IF(Settings!$C$6&lt;F99+Settings!$P$14,F99+Settings!$P$14,IF(Settings!$C$6&lt;F99+Settings!$P$15,F99+Settings!$P$15,IF(Settings!$C$6&lt;F99+Settings!$P$16,F99+Settings!$P$16,IF(Settings!$C$6&lt;F99+Settings!$P$17,F99+Settings!$P$17,IF(Settings!$C$6&lt;F99+Settings!$P$18,F99+Settings!$P$18,""))))))</f>
        <v/>
      </c>
      <c r="O99" s="22"/>
      <c r="P99" s="26"/>
      <c r="Q99" s="21" t="str">
        <f aca="false">IF(OR(M99="",M99="Paid",M99="—"),IF(M99="Paid","Paid ✓",""),IF(O99="","Send "&amp;M99&amp;" now",IF(CODE(M99)&gt;CODE(O99),"Send "&amp;M99&amp;" now","Up to date")))</f>
        <v/>
      </c>
      <c r="R99" s="22"/>
      <c r="S99" s="29" t="n">
        <f aca="false">IF(LEFT(Q99,4)="Send",1,0)</f>
        <v>0</v>
      </c>
      <c r="T99" s="29" t="str">
        <f aca="false">IF(S99=0,"",COUNTIFS($S$5:$S$204,1,$F$5:$F$204,"&lt;"&amp;F99)+COUNTIFS($S$5:$S99,1,$F$5:$F99,F99))</f>
        <v/>
      </c>
    </row>
    <row r="100" customFormat="false" ht="15" hidden="false" customHeight="false" outlineLevel="0" collapsed="false">
      <c r="A100" s="22"/>
      <c r="B100" s="22"/>
      <c r="C100" s="22"/>
      <c r="D100" s="26"/>
      <c r="E100" s="22"/>
      <c r="F100" s="28" t="str">
        <f aca="false">IF(D100="","",D100+IF(E100="",Settings!$C$7,E100))</f>
        <v/>
      </c>
      <c r="G100" s="23"/>
      <c r="H100" s="23"/>
      <c r="I100" s="26"/>
      <c r="J100" s="25" t="str">
        <f aca="false">IF(G100="","",G100-N(H100))</f>
        <v/>
      </c>
      <c r="K100" s="21" t="str">
        <f aca="false">IF(OR(G100="",F100=""),"",IF(J100&lt;=0,"Paid",IF(Settings!$C$6&lt;F100,IF(N(H100)&gt;0,"Part-paid","Not due"),IF(Settings!$C$6=F100,"Due today","Overdue"))))</f>
        <v/>
      </c>
      <c r="L100" s="27" t="str">
        <f aca="false">IF(OR(G100="",F100=""),"",IF(J100&lt;=0,"",MAX(0,Settings!$C$6-F100)))</f>
        <v/>
      </c>
      <c r="M100" s="31" t="str">
        <f aca="false">IF(OR(G100="",F100=""),"",IF(J100&lt;=0,"Paid",IF(Settings!$C$6&gt;=F100+Settings!$P$18,"E",IF(Settings!$C$6&gt;=F100+Settings!$P$17,"D",IF(Settings!$C$6&gt;=F100+Settings!$P$16,"C",IF(Settings!$C$6&gt;=F100+Settings!$P$15,"B",IF(Settings!$C$6&gt;=F100+Settings!$P$14,"A","—")))))))</f>
        <v/>
      </c>
      <c r="N100" s="28" t="str">
        <f aca="false">IF(OR(G100="",F100="",J100&lt;=0),"",IF(Settings!$C$6&lt;F100+Settings!$P$14,F100+Settings!$P$14,IF(Settings!$C$6&lt;F100+Settings!$P$15,F100+Settings!$P$15,IF(Settings!$C$6&lt;F100+Settings!$P$16,F100+Settings!$P$16,IF(Settings!$C$6&lt;F100+Settings!$P$17,F100+Settings!$P$17,IF(Settings!$C$6&lt;F100+Settings!$P$18,F100+Settings!$P$18,""))))))</f>
        <v/>
      </c>
      <c r="O100" s="22"/>
      <c r="P100" s="26"/>
      <c r="Q100" s="21" t="str">
        <f aca="false">IF(OR(M100="",M100="Paid",M100="—"),IF(M100="Paid","Paid ✓",""),IF(O100="","Send "&amp;M100&amp;" now",IF(CODE(M100)&gt;CODE(O100),"Send "&amp;M100&amp;" now","Up to date")))</f>
        <v/>
      </c>
      <c r="R100" s="22"/>
      <c r="S100" s="29" t="n">
        <f aca="false">IF(LEFT(Q100,4)="Send",1,0)</f>
        <v>0</v>
      </c>
      <c r="T100" s="29" t="str">
        <f aca="false">IF(S100=0,"",COUNTIFS($S$5:$S$204,1,$F$5:$F$204,"&lt;"&amp;F100)+COUNTIFS($S$5:$S100,1,$F$5:$F100,F100))</f>
        <v/>
      </c>
    </row>
    <row r="101" customFormat="false" ht="15" hidden="false" customHeight="false" outlineLevel="0" collapsed="false">
      <c r="A101" s="22"/>
      <c r="B101" s="22"/>
      <c r="C101" s="22"/>
      <c r="D101" s="26"/>
      <c r="E101" s="22"/>
      <c r="F101" s="28" t="str">
        <f aca="false">IF(D101="","",D101+IF(E101="",Settings!$C$7,E101))</f>
        <v/>
      </c>
      <c r="G101" s="23"/>
      <c r="H101" s="23"/>
      <c r="I101" s="26"/>
      <c r="J101" s="25" t="str">
        <f aca="false">IF(G101="","",G101-N(H101))</f>
        <v/>
      </c>
      <c r="K101" s="21" t="str">
        <f aca="false">IF(OR(G101="",F101=""),"",IF(J101&lt;=0,"Paid",IF(Settings!$C$6&lt;F101,IF(N(H101)&gt;0,"Part-paid","Not due"),IF(Settings!$C$6=F101,"Due today","Overdue"))))</f>
        <v/>
      </c>
      <c r="L101" s="27" t="str">
        <f aca="false">IF(OR(G101="",F101=""),"",IF(J101&lt;=0,"",MAX(0,Settings!$C$6-F101)))</f>
        <v/>
      </c>
      <c r="M101" s="31" t="str">
        <f aca="false">IF(OR(G101="",F101=""),"",IF(J101&lt;=0,"Paid",IF(Settings!$C$6&gt;=F101+Settings!$P$18,"E",IF(Settings!$C$6&gt;=F101+Settings!$P$17,"D",IF(Settings!$C$6&gt;=F101+Settings!$P$16,"C",IF(Settings!$C$6&gt;=F101+Settings!$P$15,"B",IF(Settings!$C$6&gt;=F101+Settings!$P$14,"A","—")))))))</f>
        <v/>
      </c>
      <c r="N101" s="28" t="str">
        <f aca="false">IF(OR(G101="",F101="",J101&lt;=0),"",IF(Settings!$C$6&lt;F101+Settings!$P$14,F101+Settings!$P$14,IF(Settings!$C$6&lt;F101+Settings!$P$15,F101+Settings!$P$15,IF(Settings!$C$6&lt;F101+Settings!$P$16,F101+Settings!$P$16,IF(Settings!$C$6&lt;F101+Settings!$P$17,F101+Settings!$P$17,IF(Settings!$C$6&lt;F101+Settings!$P$18,F101+Settings!$P$18,""))))))</f>
        <v/>
      </c>
      <c r="O101" s="22"/>
      <c r="P101" s="26"/>
      <c r="Q101" s="21" t="str">
        <f aca="false">IF(OR(M101="",M101="Paid",M101="—"),IF(M101="Paid","Paid ✓",""),IF(O101="","Send "&amp;M101&amp;" now",IF(CODE(M101)&gt;CODE(O101),"Send "&amp;M101&amp;" now","Up to date")))</f>
        <v/>
      </c>
      <c r="R101" s="22"/>
      <c r="S101" s="29" t="n">
        <f aca="false">IF(LEFT(Q101,4)="Send",1,0)</f>
        <v>0</v>
      </c>
      <c r="T101" s="29" t="str">
        <f aca="false">IF(S101=0,"",COUNTIFS($S$5:$S$204,1,$F$5:$F$204,"&lt;"&amp;F101)+COUNTIFS($S$5:$S101,1,$F$5:$F101,F101))</f>
        <v/>
      </c>
    </row>
    <row r="102" customFormat="false" ht="15" hidden="false" customHeight="false" outlineLevel="0" collapsed="false">
      <c r="A102" s="22"/>
      <c r="B102" s="22"/>
      <c r="C102" s="22"/>
      <c r="D102" s="26"/>
      <c r="E102" s="22"/>
      <c r="F102" s="28" t="str">
        <f aca="false">IF(D102="","",D102+IF(E102="",Settings!$C$7,E102))</f>
        <v/>
      </c>
      <c r="G102" s="23"/>
      <c r="H102" s="23"/>
      <c r="I102" s="26"/>
      <c r="J102" s="25" t="str">
        <f aca="false">IF(G102="","",G102-N(H102))</f>
        <v/>
      </c>
      <c r="K102" s="21" t="str">
        <f aca="false">IF(OR(G102="",F102=""),"",IF(J102&lt;=0,"Paid",IF(Settings!$C$6&lt;F102,IF(N(H102)&gt;0,"Part-paid","Not due"),IF(Settings!$C$6=F102,"Due today","Overdue"))))</f>
        <v/>
      </c>
      <c r="L102" s="27" t="str">
        <f aca="false">IF(OR(G102="",F102=""),"",IF(J102&lt;=0,"",MAX(0,Settings!$C$6-F102)))</f>
        <v/>
      </c>
      <c r="M102" s="31" t="str">
        <f aca="false">IF(OR(G102="",F102=""),"",IF(J102&lt;=0,"Paid",IF(Settings!$C$6&gt;=F102+Settings!$P$18,"E",IF(Settings!$C$6&gt;=F102+Settings!$P$17,"D",IF(Settings!$C$6&gt;=F102+Settings!$P$16,"C",IF(Settings!$C$6&gt;=F102+Settings!$P$15,"B",IF(Settings!$C$6&gt;=F102+Settings!$P$14,"A","—")))))))</f>
        <v/>
      </c>
      <c r="N102" s="28" t="str">
        <f aca="false">IF(OR(G102="",F102="",J102&lt;=0),"",IF(Settings!$C$6&lt;F102+Settings!$P$14,F102+Settings!$P$14,IF(Settings!$C$6&lt;F102+Settings!$P$15,F102+Settings!$P$15,IF(Settings!$C$6&lt;F102+Settings!$P$16,F102+Settings!$P$16,IF(Settings!$C$6&lt;F102+Settings!$P$17,F102+Settings!$P$17,IF(Settings!$C$6&lt;F102+Settings!$P$18,F102+Settings!$P$18,""))))))</f>
        <v/>
      </c>
      <c r="O102" s="22"/>
      <c r="P102" s="26"/>
      <c r="Q102" s="21" t="str">
        <f aca="false">IF(OR(M102="",M102="Paid",M102="—"),IF(M102="Paid","Paid ✓",""),IF(O102="","Send "&amp;M102&amp;" now",IF(CODE(M102)&gt;CODE(O102),"Send "&amp;M102&amp;" now","Up to date")))</f>
        <v/>
      </c>
      <c r="R102" s="22"/>
      <c r="S102" s="29" t="n">
        <f aca="false">IF(LEFT(Q102,4)="Send",1,0)</f>
        <v>0</v>
      </c>
      <c r="T102" s="29" t="str">
        <f aca="false">IF(S102=0,"",COUNTIFS($S$5:$S$204,1,$F$5:$F$204,"&lt;"&amp;F102)+COUNTIFS($S$5:$S102,1,$F$5:$F102,F102))</f>
        <v/>
      </c>
    </row>
    <row r="103" customFormat="false" ht="15" hidden="false" customHeight="false" outlineLevel="0" collapsed="false">
      <c r="A103" s="22"/>
      <c r="B103" s="22"/>
      <c r="C103" s="22"/>
      <c r="D103" s="26"/>
      <c r="E103" s="22"/>
      <c r="F103" s="28" t="str">
        <f aca="false">IF(D103="","",D103+IF(E103="",Settings!$C$7,E103))</f>
        <v/>
      </c>
      <c r="G103" s="23"/>
      <c r="H103" s="23"/>
      <c r="I103" s="26"/>
      <c r="J103" s="25" t="str">
        <f aca="false">IF(G103="","",G103-N(H103))</f>
        <v/>
      </c>
      <c r="K103" s="21" t="str">
        <f aca="false">IF(OR(G103="",F103=""),"",IF(J103&lt;=0,"Paid",IF(Settings!$C$6&lt;F103,IF(N(H103)&gt;0,"Part-paid","Not due"),IF(Settings!$C$6=F103,"Due today","Overdue"))))</f>
        <v/>
      </c>
      <c r="L103" s="27" t="str">
        <f aca="false">IF(OR(G103="",F103=""),"",IF(J103&lt;=0,"",MAX(0,Settings!$C$6-F103)))</f>
        <v/>
      </c>
      <c r="M103" s="31" t="str">
        <f aca="false">IF(OR(G103="",F103=""),"",IF(J103&lt;=0,"Paid",IF(Settings!$C$6&gt;=F103+Settings!$P$18,"E",IF(Settings!$C$6&gt;=F103+Settings!$P$17,"D",IF(Settings!$C$6&gt;=F103+Settings!$P$16,"C",IF(Settings!$C$6&gt;=F103+Settings!$P$15,"B",IF(Settings!$C$6&gt;=F103+Settings!$P$14,"A","—")))))))</f>
        <v/>
      </c>
      <c r="N103" s="28" t="str">
        <f aca="false">IF(OR(G103="",F103="",J103&lt;=0),"",IF(Settings!$C$6&lt;F103+Settings!$P$14,F103+Settings!$P$14,IF(Settings!$C$6&lt;F103+Settings!$P$15,F103+Settings!$P$15,IF(Settings!$C$6&lt;F103+Settings!$P$16,F103+Settings!$P$16,IF(Settings!$C$6&lt;F103+Settings!$P$17,F103+Settings!$P$17,IF(Settings!$C$6&lt;F103+Settings!$P$18,F103+Settings!$P$18,""))))))</f>
        <v/>
      </c>
      <c r="O103" s="22"/>
      <c r="P103" s="26"/>
      <c r="Q103" s="21" t="str">
        <f aca="false">IF(OR(M103="",M103="Paid",M103="—"),IF(M103="Paid","Paid ✓",""),IF(O103="","Send "&amp;M103&amp;" now",IF(CODE(M103)&gt;CODE(O103),"Send "&amp;M103&amp;" now","Up to date")))</f>
        <v/>
      </c>
      <c r="R103" s="22"/>
      <c r="S103" s="29" t="n">
        <f aca="false">IF(LEFT(Q103,4)="Send",1,0)</f>
        <v>0</v>
      </c>
      <c r="T103" s="29" t="str">
        <f aca="false">IF(S103=0,"",COUNTIFS($S$5:$S$204,1,$F$5:$F$204,"&lt;"&amp;F103)+COUNTIFS($S$5:$S103,1,$F$5:$F103,F103))</f>
        <v/>
      </c>
    </row>
    <row r="104" customFormat="false" ht="15" hidden="false" customHeight="false" outlineLevel="0" collapsed="false">
      <c r="A104" s="22"/>
      <c r="B104" s="22"/>
      <c r="C104" s="22"/>
      <c r="D104" s="26"/>
      <c r="E104" s="22"/>
      <c r="F104" s="28" t="str">
        <f aca="false">IF(D104="","",D104+IF(E104="",Settings!$C$7,E104))</f>
        <v/>
      </c>
      <c r="G104" s="23"/>
      <c r="H104" s="23"/>
      <c r="I104" s="26"/>
      <c r="J104" s="25" t="str">
        <f aca="false">IF(G104="","",G104-N(H104))</f>
        <v/>
      </c>
      <c r="K104" s="21" t="str">
        <f aca="false">IF(OR(G104="",F104=""),"",IF(J104&lt;=0,"Paid",IF(Settings!$C$6&lt;F104,IF(N(H104)&gt;0,"Part-paid","Not due"),IF(Settings!$C$6=F104,"Due today","Overdue"))))</f>
        <v/>
      </c>
      <c r="L104" s="27" t="str">
        <f aca="false">IF(OR(G104="",F104=""),"",IF(J104&lt;=0,"",MAX(0,Settings!$C$6-F104)))</f>
        <v/>
      </c>
      <c r="M104" s="31" t="str">
        <f aca="false">IF(OR(G104="",F104=""),"",IF(J104&lt;=0,"Paid",IF(Settings!$C$6&gt;=F104+Settings!$P$18,"E",IF(Settings!$C$6&gt;=F104+Settings!$P$17,"D",IF(Settings!$C$6&gt;=F104+Settings!$P$16,"C",IF(Settings!$C$6&gt;=F104+Settings!$P$15,"B",IF(Settings!$C$6&gt;=F104+Settings!$P$14,"A","—")))))))</f>
        <v/>
      </c>
      <c r="N104" s="28" t="str">
        <f aca="false">IF(OR(G104="",F104="",J104&lt;=0),"",IF(Settings!$C$6&lt;F104+Settings!$P$14,F104+Settings!$P$14,IF(Settings!$C$6&lt;F104+Settings!$P$15,F104+Settings!$P$15,IF(Settings!$C$6&lt;F104+Settings!$P$16,F104+Settings!$P$16,IF(Settings!$C$6&lt;F104+Settings!$P$17,F104+Settings!$P$17,IF(Settings!$C$6&lt;F104+Settings!$P$18,F104+Settings!$P$18,""))))))</f>
        <v/>
      </c>
      <c r="O104" s="22"/>
      <c r="P104" s="26"/>
      <c r="Q104" s="21" t="str">
        <f aca="false">IF(OR(M104="",M104="Paid",M104="—"),IF(M104="Paid","Paid ✓",""),IF(O104="","Send "&amp;M104&amp;" now",IF(CODE(M104)&gt;CODE(O104),"Send "&amp;M104&amp;" now","Up to date")))</f>
        <v/>
      </c>
      <c r="R104" s="22"/>
      <c r="S104" s="29" t="n">
        <f aca="false">IF(LEFT(Q104,4)="Send",1,0)</f>
        <v>0</v>
      </c>
      <c r="T104" s="29" t="str">
        <f aca="false">IF(S104=0,"",COUNTIFS($S$5:$S$204,1,$F$5:$F$204,"&lt;"&amp;F104)+COUNTIFS($S$5:$S104,1,$F$5:$F104,F104))</f>
        <v/>
      </c>
    </row>
    <row r="105" customFormat="false" ht="15" hidden="false" customHeight="false" outlineLevel="0" collapsed="false">
      <c r="A105" s="22"/>
      <c r="B105" s="22"/>
      <c r="C105" s="22"/>
      <c r="D105" s="26"/>
      <c r="E105" s="22"/>
      <c r="F105" s="28" t="str">
        <f aca="false">IF(D105="","",D105+IF(E105="",Settings!$C$7,E105))</f>
        <v/>
      </c>
      <c r="G105" s="23"/>
      <c r="H105" s="23"/>
      <c r="I105" s="26"/>
      <c r="J105" s="25" t="str">
        <f aca="false">IF(G105="","",G105-N(H105))</f>
        <v/>
      </c>
      <c r="K105" s="21" t="str">
        <f aca="false">IF(OR(G105="",F105=""),"",IF(J105&lt;=0,"Paid",IF(Settings!$C$6&lt;F105,IF(N(H105)&gt;0,"Part-paid","Not due"),IF(Settings!$C$6=F105,"Due today","Overdue"))))</f>
        <v/>
      </c>
      <c r="L105" s="27" t="str">
        <f aca="false">IF(OR(G105="",F105=""),"",IF(J105&lt;=0,"",MAX(0,Settings!$C$6-F105)))</f>
        <v/>
      </c>
      <c r="M105" s="31" t="str">
        <f aca="false">IF(OR(G105="",F105=""),"",IF(J105&lt;=0,"Paid",IF(Settings!$C$6&gt;=F105+Settings!$P$18,"E",IF(Settings!$C$6&gt;=F105+Settings!$P$17,"D",IF(Settings!$C$6&gt;=F105+Settings!$P$16,"C",IF(Settings!$C$6&gt;=F105+Settings!$P$15,"B",IF(Settings!$C$6&gt;=F105+Settings!$P$14,"A","—")))))))</f>
        <v/>
      </c>
      <c r="N105" s="28" t="str">
        <f aca="false">IF(OR(G105="",F105="",J105&lt;=0),"",IF(Settings!$C$6&lt;F105+Settings!$P$14,F105+Settings!$P$14,IF(Settings!$C$6&lt;F105+Settings!$P$15,F105+Settings!$P$15,IF(Settings!$C$6&lt;F105+Settings!$P$16,F105+Settings!$P$16,IF(Settings!$C$6&lt;F105+Settings!$P$17,F105+Settings!$P$17,IF(Settings!$C$6&lt;F105+Settings!$P$18,F105+Settings!$P$18,""))))))</f>
        <v/>
      </c>
      <c r="O105" s="22"/>
      <c r="P105" s="26"/>
      <c r="Q105" s="21" t="str">
        <f aca="false">IF(OR(M105="",M105="Paid",M105="—"),IF(M105="Paid","Paid ✓",""),IF(O105="","Send "&amp;M105&amp;" now",IF(CODE(M105)&gt;CODE(O105),"Send "&amp;M105&amp;" now","Up to date")))</f>
        <v/>
      </c>
      <c r="R105" s="22"/>
      <c r="S105" s="29" t="n">
        <f aca="false">IF(LEFT(Q105,4)="Send",1,0)</f>
        <v>0</v>
      </c>
      <c r="T105" s="29" t="str">
        <f aca="false">IF(S105=0,"",COUNTIFS($S$5:$S$204,1,$F$5:$F$204,"&lt;"&amp;F105)+COUNTIFS($S$5:$S105,1,$F$5:$F105,F105))</f>
        <v/>
      </c>
    </row>
    <row r="106" customFormat="false" ht="15" hidden="false" customHeight="false" outlineLevel="0" collapsed="false">
      <c r="A106" s="22"/>
      <c r="B106" s="22"/>
      <c r="C106" s="22"/>
      <c r="D106" s="26"/>
      <c r="E106" s="22"/>
      <c r="F106" s="28" t="str">
        <f aca="false">IF(D106="","",D106+IF(E106="",Settings!$C$7,E106))</f>
        <v/>
      </c>
      <c r="G106" s="23"/>
      <c r="H106" s="23"/>
      <c r="I106" s="26"/>
      <c r="J106" s="25" t="str">
        <f aca="false">IF(G106="","",G106-N(H106))</f>
        <v/>
      </c>
      <c r="K106" s="21" t="str">
        <f aca="false">IF(OR(G106="",F106=""),"",IF(J106&lt;=0,"Paid",IF(Settings!$C$6&lt;F106,IF(N(H106)&gt;0,"Part-paid","Not due"),IF(Settings!$C$6=F106,"Due today","Overdue"))))</f>
        <v/>
      </c>
      <c r="L106" s="27" t="str">
        <f aca="false">IF(OR(G106="",F106=""),"",IF(J106&lt;=0,"",MAX(0,Settings!$C$6-F106)))</f>
        <v/>
      </c>
      <c r="M106" s="31" t="str">
        <f aca="false">IF(OR(G106="",F106=""),"",IF(J106&lt;=0,"Paid",IF(Settings!$C$6&gt;=F106+Settings!$P$18,"E",IF(Settings!$C$6&gt;=F106+Settings!$P$17,"D",IF(Settings!$C$6&gt;=F106+Settings!$P$16,"C",IF(Settings!$C$6&gt;=F106+Settings!$P$15,"B",IF(Settings!$C$6&gt;=F106+Settings!$P$14,"A","—")))))))</f>
        <v/>
      </c>
      <c r="N106" s="28" t="str">
        <f aca="false">IF(OR(G106="",F106="",J106&lt;=0),"",IF(Settings!$C$6&lt;F106+Settings!$P$14,F106+Settings!$P$14,IF(Settings!$C$6&lt;F106+Settings!$P$15,F106+Settings!$P$15,IF(Settings!$C$6&lt;F106+Settings!$P$16,F106+Settings!$P$16,IF(Settings!$C$6&lt;F106+Settings!$P$17,F106+Settings!$P$17,IF(Settings!$C$6&lt;F106+Settings!$P$18,F106+Settings!$P$18,""))))))</f>
        <v/>
      </c>
      <c r="O106" s="22"/>
      <c r="P106" s="26"/>
      <c r="Q106" s="21" t="str">
        <f aca="false">IF(OR(M106="",M106="Paid",M106="—"),IF(M106="Paid","Paid ✓",""),IF(O106="","Send "&amp;M106&amp;" now",IF(CODE(M106)&gt;CODE(O106),"Send "&amp;M106&amp;" now","Up to date")))</f>
        <v/>
      </c>
      <c r="R106" s="22"/>
      <c r="S106" s="29" t="n">
        <f aca="false">IF(LEFT(Q106,4)="Send",1,0)</f>
        <v>0</v>
      </c>
      <c r="T106" s="29" t="str">
        <f aca="false">IF(S106=0,"",COUNTIFS($S$5:$S$204,1,$F$5:$F$204,"&lt;"&amp;F106)+COUNTIFS($S$5:$S106,1,$F$5:$F106,F106))</f>
        <v/>
      </c>
    </row>
    <row r="107" customFormat="false" ht="15" hidden="false" customHeight="false" outlineLevel="0" collapsed="false">
      <c r="A107" s="22"/>
      <c r="B107" s="22"/>
      <c r="C107" s="22"/>
      <c r="D107" s="26"/>
      <c r="E107" s="22"/>
      <c r="F107" s="28" t="str">
        <f aca="false">IF(D107="","",D107+IF(E107="",Settings!$C$7,E107))</f>
        <v/>
      </c>
      <c r="G107" s="23"/>
      <c r="H107" s="23"/>
      <c r="I107" s="26"/>
      <c r="J107" s="25" t="str">
        <f aca="false">IF(G107="","",G107-N(H107))</f>
        <v/>
      </c>
      <c r="K107" s="21" t="str">
        <f aca="false">IF(OR(G107="",F107=""),"",IF(J107&lt;=0,"Paid",IF(Settings!$C$6&lt;F107,IF(N(H107)&gt;0,"Part-paid","Not due"),IF(Settings!$C$6=F107,"Due today","Overdue"))))</f>
        <v/>
      </c>
      <c r="L107" s="27" t="str">
        <f aca="false">IF(OR(G107="",F107=""),"",IF(J107&lt;=0,"",MAX(0,Settings!$C$6-F107)))</f>
        <v/>
      </c>
      <c r="M107" s="31" t="str">
        <f aca="false">IF(OR(G107="",F107=""),"",IF(J107&lt;=0,"Paid",IF(Settings!$C$6&gt;=F107+Settings!$P$18,"E",IF(Settings!$C$6&gt;=F107+Settings!$P$17,"D",IF(Settings!$C$6&gt;=F107+Settings!$P$16,"C",IF(Settings!$C$6&gt;=F107+Settings!$P$15,"B",IF(Settings!$C$6&gt;=F107+Settings!$P$14,"A","—")))))))</f>
        <v/>
      </c>
      <c r="N107" s="28" t="str">
        <f aca="false">IF(OR(G107="",F107="",J107&lt;=0),"",IF(Settings!$C$6&lt;F107+Settings!$P$14,F107+Settings!$P$14,IF(Settings!$C$6&lt;F107+Settings!$P$15,F107+Settings!$P$15,IF(Settings!$C$6&lt;F107+Settings!$P$16,F107+Settings!$P$16,IF(Settings!$C$6&lt;F107+Settings!$P$17,F107+Settings!$P$17,IF(Settings!$C$6&lt;F107+Settings!$P$18,F107+Settings!$P$18,""))))))</f>
        <v/>
      </c>
      <c r="O107" s="22"/>
      <c r="P107" s="26"/>
      <c r="Q107" s="21" t="str">
        <f aca="false">IF(OR(M107="",M107="Paid",M107="—"),IF(M107="Paid","Paid ✓",""),IF(O107="","Send "&amp;M107&amp;" now",IF(CODE(M107)&gt;CODE(O107),"Send "&amp;M107&amp;" now","Up to date")))</f>
        <v/>
      </c>
      <c r="R107" s="22"/>
      <c r="S107" s="29" t="n">
        <f aca="false">IF(LEFT(Q107,4)="Send",1,0)</f>
        <v>0</v>
      </c>
      <c r="T107" s="29" t="str">
        <f aca="false">IF(S107=0,"",COUNTIFS($S$5:$S$204,1,$F$5:$F$204,"&lt;"&amp;F107)+COUNTIFS($S$5:$S107,1,$F$5:$F107,F107))</f>
        <v/>
      </c>
    </row>
    <row r="108" customFormat="false" ht="15" hidden="false" customHeight="false" outlineLevel="0" collapsed="false">
      <c r="A108" s="22"/>
      <c r="B108" s="22"/>
      <c r="C108" s="22"/>
      <c r="D108" s="26"/>
      <c r="E108" s="22"/>
      <c r="F108" s="28" t="str">
        <f aca="false">IF(D108="","",D108+IF(E108="",Settings!$C$7,E108))</f>
        <v/>
      </c>
      <c r="G108" s="23"/>
      <c r="H108" s="23"/>
      <c r="I108" s="26"/>
      <c r="J108" s="25" t="str">
        <f aca="false">IF(G108="","",G108-N(H108))</f>
        <v/>
      </c>
      <c r="K108" s="21" t="str">
        <f aca="false">IF(OR(G108="",F108=""),"",IF(J108&lt;=0,"Paid",IF(Settings!$C$6&lt;F108,IF(N(H108)&gt;0,"Part-paid","Not due"),IF(Settings!$C$6=F108,"Due today","Overdue"))))</f>
        <v/>
      </c>
      <c r="L108" s="27" t="str">
        <f aca="false">IF(OR(G108="",F108=""),"",IF(J108&lt;=0,"",MAX(0,Settings!$C$6-F108)))</f>
        <v/>
      </c>
      <c r="M108" s="31" t="str">
        <f aca="false">IF(OR(G108="",F108=""),"",IF(J108&lt;=0,"Paid",IF(Settings!$C$6&gt;=F108+Settings!$P$18,"E",IF(Settings!$C$6&gt;=F108+Settings!$P$17,"D",IF(Settings!$C$6&gt;=F108+Settings!$P$16,"C",IF(Settings!$C$6&gt;=F108+Settings!$P$15,"B",IF(Settings!$C$6&gt;=F108+Settings!$P$14,"A","—")))))))</f>
        <v/>
      </c>
      <c r="N108" s="28" t="str">
        <f aca="false">IF(OR(G108="",F108="",J108&lt;=0),"",IF(Settings!$C$6&lt;F108+Settings!$P$14,F108+Settings!$P$14,IF(Settings!$C$6&lt;F108+Settings!$P$15,F108+Settings!$P$15,IF(Settings!$C$6&lt;F108+Settings!$P$16,F108+Settings!$P$16,IF(Settings!$C$6&lt;F108+Settings!$P$17,F108+Settings!$P$17,IF(Settings!$C$6&lt;F108+Settings!$P$18,F108+Settings!$P$18,""))))))</f>
        <v/>
      </c>
      <c r="O108" s="22"/>
      <c r="P108" s="26"/>
      <c r="Q108" s="21" t="str">
        <f aca="false">IF(OR(M108="",M108="Paid",M108="—"),IF(M108="Paid","Paid ✓",""),IF(O108="","Send "&amp;M108&amp;" now",IF(CODE(M108)&gt;CODE(O108),"Send "&amp;M108&amp;" now","Up to date")))</f>
        <v/>
      </c>
      <c r="R108" s="22"/>
      <c r="S108" s="29" t="n">
        <f aca="false">IF(LEFT(Q108,4)="Send",1,0)</f>
        <v>0</v>
      </c>
      <c r="T108" s="29" t="str">
        <f aca="false">IF(S108=0,"",COUNTIFS($S$5:$S$204,1,$F$5:$F$204,"&lt;"&amp;F108)+COUNTIFS($S$5:$S108,1,$F$5:$F108,F108))</f>
        <v/>
      </c>
    </row>
    <row r="109" customFormat="false" ht="15" hidden="false" customHeight="false" outlineLevel="0" collapsed="false">
      <c r="A109" s="22"/>
      <c r="B109" s="22"/>
      <c r="C109" s="22"/>
      <c r="D109" s="26"/>
      <c r="E109" s="22"/>
      <c r="F109" s="28" t="str">
        <f aca="false">IF(D109="","",D109+IF(E109="",Settings!$C$7,E109))</f>
        <v/>
      </c>
      <c r="G109" s="23"/>
      <c r="H109" s="23"/>
      <c r="I109" s="26"/>
      <c r="J109" s="25" t="str">
        <f aca="false">IF(G109="","",G109-N(H109))</f>
        <v/>
      </c>
      <c r="K109" s="21" t="str">
        <f aca="false">IF(OR(G109="",F109=""),"",IF(J109&lt;=0,"Paid",IF(Settings!$C$6&lt;F109,IF(N(H109)&gt;0,"Part-paid","Not due"),IF(Settings!$C$6=F109,"Due today","Overdue"))))</f>
        <v/>
      </c>
      <c r="L109" s="27" t="str">
        <f aca="false">IF(OR(G109="",F109=""),"",IF(J109&lt;=0,"",MAX(0,Settings!$C$6-F109)))</f>
        <v/>
      </c>
      <c r="M109" s="31" t="str">
        <f aca="false">IF(OR(G109="",F109=""),"",IF(J109&lt;=0,"Paid",IF(Settings!$C$6&gt;=F109+Settings!$P$18,"E",IF(Settings!$C$6&gt;=F109+Settings!$P$17,"D",IF(Settings!$C$6&gt;=F109+Settings!$P$16,"C",IF(Settings!$C$6&gt;=F109+Settings!$P$15,"B",IF(Settings!$C$6&gt;=F109+Settings!$P$14,"A","—")))))))</f>
        <v/>
      </c>
      <c r="N109" s="28" t="str">
        <f aca="false">IF(OR(G109="",F109="",J109&lt;=0),"",IF(Settings!$C$6&lt;F109+Settings!$P$14,F109+Settings!$P$14,IF(Settings!$C$6&lt;F109+Settings!$P$15,F109+Settings!$P$15,IF(Settings!$C$6&lt;F109+Settings!$P$16,F109+Settings!$P$16,IF(Settings!$C$6&lt;F109+Settings!$P$17,F109+Settings!$P$17,IF(Settings!$C$6&lt;F109+Settings!$P$18,F109+Settings!$P$18,""))))))</f>
        <v/>
      </c>
      <c r="O109" s="22"/>
      <c r="P109" s="26"/>
      <c r="Q109" s="21" t="str">
        <f aca="false">IF(OR(M109="",M109="Paid",M109="—"),IF(M109="Paid","Paid ✓",""),IF(O109="","Send "&amp;M109&amp;" now",IF(CODE(M109)&gt;CODE(O109),"Send "&amp;M109&amp;" now","Up to date")))</f>
        <v/>
      </c>
      <c r="R109" s="22"/>
      <c r="S109" s="29" t="n">
        <f aca="false">IF(LEFT(Q109,4)="Send",1,0)</f>
        <v>0</v>
      </c>
      <c r="T109" s="29" t="str">
        <f aca="false">IF(S109=0,"",COUNTIFS($S$5:$S$204,1,$F$5:$F$204,"&lt;"&amp;F109)+COUNTIFS($S$5:$S109,1,$F$5:$F109,F109))</f>
        <v/>
      </c>
    </row>
    <row r="110" customFormat="false" ht="15" hidden="false" customHeight="false" outlineLevel="0" collapsed="false">
      <c r="A110" s="22"/>
      <c r="B110" s="22"/>
      <c r="C110" s="22"/>
      <c r="D110" s="26"/>
      <c r="E110" s="22"/>
      <c r="F110" s="28" t="str">
        <f aca="false">IF(D110="","",D110+IF(E110="",Settings!$C$7,E110))</f>
        <v/>
      </c>
      <c r="G110" s="23"/>
      <c r="H110" s="23"/>
      <c r="I110" s="26"/>
      <c r="J110" s="25" t="str">
        <f aca="false">IF(G110="","",G110-N(H110))</f>
        <v/>
      </c>
      <c r="K110" s="21" t="str">
        <f aca="false">IF(OR(G110="",F110=""),"",IF(J110&lt;=0,"Paid",IF(Settings!$C$6&lt;F110,IF(N(H110)&gt;0,"Part-paid","Not due"),IF(Settings!$C$6=F110,"Due today","Overdue"))))</f>
        <v/>
      </c>
      <c r="L110" s="27" t="str">
        <f aca="false">IF(OR(G110="",F110=""),"",IF(J110&lt;=0,"",MAX(0,Settings!$C$6-F110)))</f>
        <v/>
      </c>
      <c r="M110" s="31" t="str">
        <f aca="false">IF(OR(G110="",F110=""),"",IF(J110&lt;=0,"Paid",IF(Settings!$C$6&gt;=F110+Settings!$P$18,"E",IF(Settings!$C$6&gt;=F110+Settings!$P$17,"D",IF(Settings!$C$6&gt;=F110+Settings!$P$16,"C",IF(Settings!$C$6&gt;=F110+Settings!$P$15,"B",IF(Settings!$C$6&gt;=F110+Settings!$P$14,"A","—")))))))</f>
        <v/>
      </c>
      <c r="N110" s="28" t="str">
        <f aca="false">IF(OR(G110="",F110="",J110&lt;=0),"",IF(Settings!$C$6&lt;F110+Settings!$P$14,F110+Settings!$P$14,IF(Settings!$C$6&lt;F110+Settings!$P$15,F110+Settings!$P$15,IF(Settings!$C$6&lt;F110+Settings!$P$16,F110+Settings!$P$16,IF(Settings!$C$6&lt;F110+Settings!$P$17,F110+Settings!$P$17,IF(Settings!$C$6&lt;F110+Settings!$P$18,F110+Settings!$P$18,""))))))</f>
        <v/>
      </c>
      <c r="O110" s="22"/>
      <c r="P110" s="26"/>
      <c r="Q110" s="21" t="str">
        <f aca="false">IF(OR(M110="",M110="Paid",M110="—"),IF(M110="Paid","Paid ✓",""),IF(O110="","Send "&amp;M110&amp;" now",IF(CODE(M110)&gt;CODE(O110),"Send "&amp;M110&amp;" now","Up to date")))</f>
        <v/>
      </c>
      <c r="R110" s="22"/>
      <c r="S110" s="29" t="n">
        <f aca="false">IF(LEFT(Q110,4)="Send",1,0)</f>
        <v>0</v>
      </c>
      <c r="T110" s="29" t="str">
        <f aca="false">IF(S110=0,"",COUNTIFS($S$5:$S$204,1,$F$5:$F$204,"&lt;"&amp;F110)+COUNTIFS($S$5:$S110,1,$F$5:$F110,F110))</f>
        <v/>
      </c>
    </row>
    <row r="111" customFormat="false" ht="15" hidden="false" customHeight="false" outlineLevel="0" collapsed="false">
      <c r="A111" s="22"/>
      <c r="B111" s="22"/>
      <c r="C111" s="22"/>
      <c r="D111" s="26"/>
      <c r="E111" s="22"/>
      <c r="F111" s="28" t="str">
        <f aca="false">IF(D111="","",D111+IF(E111="",Settings!$C$7,E111))</f>
        <v/>
      </c>
      <c r="G111" s="23"/>
      <c r="H111" s="23"/>
      <c r="I111" s="26"/>
      <c r="J111" s="25" t="str">
        <f aca="false">IF(G111="","",G111-N(H111))</f>
        <v/>
      </c>
      <c r="K111" s="21" t="str">
        <f aca="false">IF(OR(G111="",F111=""),"",IF(J111&lt;=0,"Paid",IF(Settings!$C$6&lt;F111,IF(N(H111)&gt;0,"Part-paid","Not due"),IF(Settings!$C$6=F111,"Due today","Overdue"))))</f>
        <v/>
      </c>
      <c r="L111" s="27" t="str">
        <f aca="false">IF(OR(G111="",F111=""),"",IF(J111&lt;=0,"",MAX(0,Settings!$C$6-F111)))</f>
        <v/>
      </c>
      <c r="M111" s="31" t="str">
        <f aca="false">IF(OR(G111="",F111=""),"",IF(J111&lt;=0,"Paid",IF(Settings!$C$6&gt;=F111+Settings!$P$18,"E",IF(Settings!$C$6&gt;=F111+Settings!$P$17,"D",IF(Settings!$C$6&gt;=F111+Settings!$P$16,"C",IF(Settings!$C$6&gt;=F111+Settings!$P$15,"B",IF(Settings!$C$6&gt;=F111+Settings!$P$14,"A","—")))))))</f>
        <v/>
      </c>
      <c r="N111" s="28" t="str">
        <f aca="false">IF(OR(G111="",F111="",J111&lt;=0),"",IF(Settings!$C$6&lt;F111+Settings!$P$14,F111+Settings!$P$14,IF(Settings!$C$6&lt;F111+Settings!$P$15,F111+Settings!$P$15,IF(Settings!$C$6&lt;F111+Settings!$P$16,F111+Settings!$P$16,IF(Settings!$C$6&lt;F111+Settings!$P$17,F111+Settings!$P$17,IF(Settings!$C$6&lt;F111+Settings!$P$18,F111+Settings!$P$18,""))))))</f>
        <v/>
      </c>
      <c r="O111" s="22"/>
      <c r="P111" s="26"/>
      <c r="Q111" s="21" t="str">
        <f aca="false">IF(OR(M111="",M111="Paid",M111="—"),IF(M111="Paid","Paid ✓",""),IF(O111="","Send "&amp;M111&amp;" now",IF(CODE(M111)&gt;CODE(O111),"Send "&amp;M111&amp;" now","Up to date")))</f>
        <v/>
      </c>
      <c r="R111" s="22"/>
      <c r="S111" s="29" t="n">
        <f aca="false">IF(LEFT(Q111,4)="Send",1,0)</f>
        <v>0</v>
      </c>
      <c r="T111" s="29" t="str">
        <f aca="false">IF(S111=0,"",COUNTIFS($S$5:$S$204,1,$F$5:$F$204,"&lt;"&amp;F111)+COUNTIFS($S$5:$S111,1,$F$5:$F111,F111))</f>
        <v/>
      </c>
    </row>
    <row r="112" customFormat="false" ht="15" hidden="false" customHeight="false" outlineLevel="0" collapsed="false">
      <c r="A112" s="22"/>
      <c r="B112" s="22"/>
      <c r="C112" s="22"/>
      <c r="D112" s="26"/>
      <c r="E112" s="22"/>
      <c r="F112" s="28" t="str">
        <f aca="false">IF(D112="","",D112+IF(E112="",Settings!$C$7,E112))</f>
        <v/>
      </c>
      <c r="G112" s="23"/>
      <c r="H112" s="23"/>
      <c r="I112" s="26"/>
      <c r="J112" s="25" t="str">
        <f aca="false">IF(G112="","",G112-N(H112))</f>
        <v/>
      </c>
      <c r="K112" s="21" t="str">
        <f aca="false">IF(OR(G112="",F112=""),"",IF(J112&lt;=0,"Paid",IF(Settings!$C$6&lt;F112,IF(N(H112)&gt;0,"Part-paid","Not due"),IF(Settings!$C$6=F112,"Due today","Overdue"))))</f>
        <v/>
      </c>
      <c r="L112" s="27" t="str">
        <f aca="false">IF(OR(G112="",F112=""),"",IF(J112&lt;=0,"",MAX(0,Settings!$C$6-F112)))</f>
        <v/>
      </c>
      <c r="M112" s="31" t="str">
        <f aca="false">IF(OR(G112="",F112=""),"",IF(J112&lt;=0,"Paid",IF(Settings!$C$6&gt;=F112+Settings!$P$18,"E",IF(Settings!$C$6&gt;=F112+Settings!$P$17,"D",IF(Settings!$C$6&gt;=F112+Settings!$P$16,"C",IF(Settings!$C$6&gt;=F112+Settings!$P$15,"B",IF(Settings!$C$6&gt;=F112+Settings!$P$14,"A","—")))))))</f>
        <v/>
      </c>
      <c r="N112" s="28" t="str">
        <f aca="false">IF(OR(G112="",F112="",J112&lt;=0),"",IF(Settings!$C$6&lt;F112+Settings!$P$14,F112+Settings!$P$14,IF(Settings!$C$6&lt;F112+Settings!$P$15,F112+Settings!$P$15,IF(Settings!$C$6&lt;F112+Settings!$P$16,F112+Settings!$P$16,IF(Settings!$C$6&lt;F112+Settings!$P$17,F112+Settings!$P$17,IF(Settings!$C$6&lt;F112+Settings!$P$18,F112+Settings!$P$18,""))))))</f>
        <v/>
      </c>
      <c r="O112" s="22"/>
      <c r="P112" s="26"/>
      <c r="Q112" s="21" t="str">
        <f aca="false">IF(OR(M112="",M112="Paid",M112="—"),IF(M112="Paid","Paid ✓",""),IF(O112="","Send "&amp;M112&amp;" now",IF(CODE(M112)&gt;CODE(O112),"Send "&amp;M112&amp;" now","Up to date")))</f>
        <v/>
      </c>
      <c r="R112" s="22"/>
      <c r="S112" s="29" t="n">
        <f aca="false">IF(LEFT(Q112,4)="Send",1,0)</f>
        <v>0</v>
      </c>
      <c r="T112" s="29" t="str">
        <f aca="false">IF(S112=0,"",COUNTIFS($S$5:$S$204,1,$F$5:$F$204,"&lt;"&amp;F112)+COUNTIFS($S$5:$S112,1,$F$5:$F112,F112))</f>
        <v/>
      </c>
    </row>
    <row r="113" customFormat="false" ht="15" hidden="false" customHeight="false" outlineLevel="0" collapsed="false">
      <c r="A113" s="22"/>
      <c r="B113" s="22"/>
      <c r="C113" s="22"/>
      <c r="D113" s="26"/>
      <c r="E113" s="22"/>
      <c r="F113" s="28" t="str">
        <f aca="false">IF(D113="","",D113+IF(E113="",Settings!$C$7,E113))</f>
        <v/>
      </c>
      <c r="G113" s="23"/>
      <c r="H113" s="23"/>
      <c r="I113" s="26"/>
      <c r="J113" s="25" t="str">
        <f aca="false">IF(G113="","",G113-N(H113))</f>
        <v/>
      </c>
      <c r="K113" s="21" t="str">
        <f aca="false">IF(OR(G113="",F113=""),"",IF(J113&lt;=0,"Paid",IF(Settings!$C$6&lt;F113,IF(N(H113)&gt;0,"Part-paid","Not due"),IF(Settings!$C$6=F113,"Due today","Overdue"))))</f>
        <v/>
      </c>
      <c r="L113" s="27" t="str">
        <f aca="false">IF(OR(G113="",F113=""),"",IF(J113&lt;=0,"",MAX(0,Settings!$C$6-F113)))</f>
        <v/>
      </c>
      <c r="M113" s="31" t="str">
        <f aca="false">IF(OR(G113="",F113=""),"",IF(J113&lt;=0,"Paid",IF(Settings!$C$6&gt;=F113+Settings!$P$18,"E",IF(Settings!$C$6&gt;=F113+Settings!$P$17,"D",IF(Settings!$C$6&gt;=F113+Settings!$P$16,"C",IF(Settings!$C$6&gt;=F113+Settings!$P$15,"B",IF(Settings!$C$6&gt;=F113+Settings!$P$14,"A","—")))))))</f>
        <v/>
      </c>
      <c r="N113" s="28" t="str">
        <f aca="false">IF(OR(G113="",F113="",J113&lt;=0),"",IF(Settings!$C$6&lt;F113+Settings!$P$14,F113+Settings!$P$14,IF(Settings!$C$6&lt;F113+Settings!$P$15,F113+Settings!$P$15,IF(Settings!$C$6&lt;F113+Settings!$P$16,F113+Settings!$P$16,IF(Settings!$C$6&lt;F113+Settings!$P$17,F113+Settings!$P$17,IF(Settings!$C$6&lt;F113+Settings!$P$18,F113+Settings!$P$18,""))))))</f>
        <v/>
      </c>
      <c r="O113" s="22"/>
      <c r="P113" s="26"/>
      <c r="Q113" s="21" t="str">
        <f aca="false">IF(OR(M113="",M113="Paid",M113="—"),IF(M113="Paid","Paid ✓",""),IF(O113="","Send "&amp;M113&amp;" now",IF(CODE(M113)&gt;CODE(O113),"Send "&amp;M113&amp;" now","Up to date")))</f>
        <v/>
      </c>
      <c r="R113" s="22"/>
      <c r="S113" s="29" t="n">
        <f aca="false">IF(LEFT(Q113,4)="Send",1,0)</f>
        <v>0</v>
      </c>
      <c r="T113" s="29" t="str">
        <f aca="false">IF(S113=0,"",COUNTIFS($S$5:$S$204,1,$F$5:$F$204,"&lt;"&amp;F113)+COUNTIFS($S$5:$S113,1,$F$5:$F113,F113))</f>
        <v/>
      </c>
    </row>
    <row r="114" customFormat="false" ht="15" hidden="false" customHeight="false" outlineLevel="0" collapsed="false">
      <c r="A114" s="22"/>
      <c r="B114" s="22"/>
      <c r="C114" s="22"/>
      <c r="D114" s="26"/>
      <c r="E114" s="22"/>
      <c r="F114" s="28" t="str">
        <f aca="false">IF(D114="","",D114+IF(E114="",Settings!$C$7,E114))</f>
        <v/>
      </c>
      <c r="G114" s="23"/>
      <c r="H114" s="23"/>
      <c r="I114" s="26"/>
      <c r="J114" s="25" t="str">
        <f aca="false">IF(G114="","",G114-N(H114))</f>
        <v/>
      </c>
      <c r="K114" s="21" t="str">
        <f aca="false">IF(OR(G114="",F114=""),"",IF(J114&lt;=0,"Paid",IF(Settings!$C$6&lt;F114,IF(N(H114)&gt;0,"Part-paid","Not due"),IF(Settings!$C$6=F114,"Due today","Overdue"))))</f>
        <v/>
      </c>
      <c r="L114" s="27" t="str">
        <f aca="false">IF(OR(G114="",F114=""),"",IF(J114&lt;=0,"",MAX(0,Settings!$C$6-F114)))</f>
        <v/>
      </c>
      <c r="M114" s="31" t="str">
        <f aca="false">IF(OR(G114="",F114=""),"",IF(J114&lt;=0,"Paid",IF(Settings!$C$6&gt;=F114+Settings!$P$18,"E",IF(Settings!$C$6&gt;=F114+Settings!$P$17,"D",IF(Settings!$C$6&gt;=F114+Settings!$P$16,"C",IF(Settings!$C$6&gt;=F114+Settings!$P$15,"B",IF(Settings!$C$6&gt;=F114+Settings!$P$14,"A","—")))))))</f>
        <v/>
      </c>
      <c r="N114" s="28" t="str">
        <f aca="false">IF(OR(G114="",F114="",J114&lt;=0),"",IF(Settings!$C$6&lt;F114+Settings!$P$14,F114+Settings!$P$14,IF(Settings!$C$6&lt;F114+Settings!$P$15,F114+Settings!$P$15,IF(Settings!$C$6&lt;F114+Settings!$P$16,F114+Settings!$P$16,IF(Settings!$C$6&lt;F114+Settings!$P$17,F114+Settings!$P$17,IF(Settings!$C$6&lt;F114+Settings!$P$18,F114+Settings!$P$18,""))))))</f>
        <v/>
      </c>
      <c r="O114" s="22"/>
      <c r="P114" s="26"/>
      <c r="Q114" s="21" t="str">
        <f aca="false">IF(OR(M114="",M114="Paid",M114="—"),IF(M114="Paid","Paid ✓",""),IF(O114="","Send "&amp;M114&amp;" now",IF(CODE(M114)&gt;CODE(O114),"Send "&amp;M114&amp;" now","Up to date")))</f>
        <v/>
      </c>
      <c r="R114" s="22"/>
      <c r="S114" s="29" t="n">
        <f aca="false">IF(LEFT(Q114,4)="Send",1,0)</f>
        <v>0</v>
      </c>
      <c r="T114" s="29" t="str">
        <f aca="false">IF(S114=0,"",COUNTIFS($S$5:$S$204,1,$F$5:$F$204,"&lt;"&amp;F114)+COUNTIFS($S$5:$S114,1,$F$5:$F114,F114))</f>
        <v/>
      </c>
    </row>
    <row r="115" customFormat="false" ht="15" hidden="false" customHeight="false" outlineLevel="0" collapsed="false">
      <c r="A115" s="22"/>
      <c r="B115" s="22"/>
      <c r="C115" s="22"/>
      <c r="D115" s="26"/>
      <c r="E115" s="22"/>
      <c r="F115" s="28" t="str">
        <f aca="false">IF(D115="","",D115+IF(E115="",Settings!$C$7,E115))</f>
        <v/>
      </c>
      <c r="G115" s="23"/>
      <c r="H115" s="23"/>
      <c r="I115" s="26"/>
      <c r="J115" s="25" t="str">
        <f aca="false">IF(G115="","",G115-N(H115))</f>
        <v/>
      </c>
      <c r="K115" s="21" t="str">
        <f aca="false">IF(OR(G115="",F115=""),"",IF(J115&lt;=0,"Paid",IF(Settings!$C$6&lt;F115,IF(N(H115)&gt;0,"Part-paid","Not due"),IF(Settings!$C$6=F115,"Due today","Overdue"))))</f>
        <v/>
      </c>
      <c r="L115" s="27" t="str">
        <f aca="false">IF(OR(G115="",F115=""),"",IF(J115&lt;=0,"",MAX(0,Settings!$C$6-F115)))</f>
        <v/>
      </c>
      <c r="M115" s="31" t="str">
        <f aca="false">IF(OR(G115="",F115=""),"",IF(J115&lt;=0,"Paid",IF(Settings!$C$6&gt;=F115+Settings!$P$18,"E",IF(Settings!$C$6&gt;=F115+Settings!$P$17,"D",IF(Settings!$C$6&gt;=F115+Settings!$P$16,"C",IF(Settings!$C$6&gt;=F115+Settings!$P$15,"B",IF(Settings!$C$6&gt;=F115+Settings!$P$14,"A","—")))))))</f>
        <v/>
      </c>
      <c r="N115" s="28" t="str">
        <f aca="false">IF(OR(G115="",F115="",J115&lt;=0),"",IF(Settings!$C$6&lt;F115+Settings!$P$14,F115+Settings!$P$14,IF(Settings!$C$6&lt;F115+Settings!$P$15,F115+Settings!$P$15,IF(Settings!$C$6&lt;F115+Settings!$P$16,F115+Settings!$P$16,IF(Settings!$C$6&lt;F115+Settings!$P$17,F115+Settings!$P$17,IF(Settings!$C$6&lt;F115+Settings!$P$18,F115+Settings!$P$18,""))))))</f>
        <v/>
      </c>
      <c r="O115" s="22"/>
      <c r="P115" s="26"/>
      <c r="Q115" s="21" t="str">
        <f aca="false">IF(OR(M115="",M115="Paid",M115="—"),IF(M115="Paid","Paid ✓",""),IF(O115="","Send "&amp;M115&amp;" now",IF(CODE(M115)&gt;CODE(O115),"Send "&amp;M115&amp;" now","Up to date")))</f>
        <v/>
      </c>
      <c r="R115" s="22"/>
      <c r="S115" s="29" t="n">
        <f aca="false">IF(LEFT(Q115,4)="Send",1,0)</f>
        <v>0</v>
      </c>
      <c r="T115" s="29" t="str">
        <f aca="false">IF(S115=0,"",COUNTIFS($S$5:$S$204,1,$F$5:$F$204,"&lt;"&amp;F115)+COUNTIFS($S$5:$S115,1,$F$5:$F115,F115))</f>
        <v/>
      </c>
    </row>
    <row r="116" customFormat="false" ht="15" hidden="false" customHeight="false" outlineLevel="0" collapsed="false">
      <c r="A116" s="22"/>
      <c r="B116" s="22"/>
      <c r="C116" s="22"/>
      <c r="D116" s="26"/>
      <c r="E116" s="22"/>
      <c r="F116" s="28" t="str">
        <f aca="false">IF(D116="","",D116+IF(E116="",Settings!$C$7,E116))</f>
        <v/>
      </c>
      <c r="G116" s="23"/>
      <c r="H116" s="23"/>
      <c r="I116" s="26"/>
      <c r="J116" s="25" t="str">
        <f aca="false">IF(G116="","",G116-N(H116))</f>
        <v/>
      </c>
      <c r="K116" s="21" t="str">
        <f aca="false">IF(OR(G116="",F116=""),"",IF(J116&lt;=0,"Paid",IF(Settings!$C$6&lt;F116,IF(N(H116)&gt;0,"Part-paid","Not due"),IF(Settings!$C$6=F116,"Due today","Overdue"))))</f>
        <v/>
      </c>
      <c r="L116" s="27" t="str">
        <f aca="false">IF(OR(G116="",F116=""),"",IF(J116&lt;=0,"",MAX(0,Settings!$C$6-F116)))</f>
        <v/>
      </c>
      <c r="M116" s="31" t="str">
        <f aca="false">IF(OR(G116="",F116=""),"",IF(J116&lt;=0,"Paid",IF(Settings!$C$6&gt;=F116+Settings!$P$18,"E",IF(Settings!$C$6&gt;=F116+Settings!$P$17,"D",IF(Settings!$C$6&gt;=F116+Settings!$P$16,"C",IF(Settings!$C$6&gt;=F116+Settings!$P$15,"B",IF(Settings!$C$6&gt;=F116+Settings!$P$14,"A","—")))))))</f>
        <v/>
      </c>
      <c r="N116" s="28" t="str">
        <f aca="false">IF(OR(G116="",F116="",J116&lt;=0),"",IF(Settings!$C$6&lt;F116+Settings!$P$14,F116+Settings!$P$14,IF(Settings!$C$6&lt;F116+Settings!$P$15,F116+Settings!$P$15,IF(Settings!$C$6&lt;F116+Settings!$P$16,F116+Settings!$P$16,IF(Settings!$C$6&lt;F116+Settings!$P$17,F116+Settings!$P$17,IF(Settings!$C$6&lt;F116+Settings!$P$18,F116+Settings!$P$18,""))))))</f>
        <v/>
      </c>
      <c r="O116" s="22"/>
      <c r="P116" s="26"/>
      <c r="Q116" s="21" t="str">
        <f aca="false">IF(OR(M116="",M116="Paid",M116="—"),IF(M116="Paid","Paid ✓",""),IF(O116="","Send "&amp;M116&amp;" now",IF(CODE(M116)&gt;CODE(O116),"Send "&amp;M116&amp;" now","Up to date")))</f>
        <v/>
      </c>
      <c r="R116" s="22"/>
      <c r="S116" s="29" t="n">
        <f aca="false">IF(LEFT(Q116,4)="Send",1,0)</f>
        <v>0</v>
      </c>
      <c r="T116" s="29" t="str">
        <f aca="false">IF(S116=0,"",COUNTIFS($S$5:$S$204,1,$F$5:$F$204,"&lt;"&amp;F116)+COUNTIFS($S$5:$S116,1,$F$5:$F116,F116))</f>
        <v/>
      </c>
    </row>
    <row r="117" customFormat="false" ht="15" hidden="false" customHeight="false" outlineLevel="0" collapsed="false">
      <c r="A117" s="22"/>
      <c r="B117" s="22"/>
      <c r="C117" s="22"/>
      <c r="D117" s="26"/>
      <c r="E117" s="22"/>
      <c r="F117" s="28" t="str">
        <f aca="false">IF(D117="","",D117+IF(E117="",Settings!$C$7,E117))</f>
        <v/>
      </c>
      <c r="G117" s="23"/>
      <c r="H117" s="23"/>
      <c r="I117" s="26"/>
      <c r="J117" s="25" t="str">
        <f aca="false">IF(G117="","",G117-N(H117))</f>
        <v/>
      </c>
      <c r="K117" s="21" t="str">
        <f aca="false">IF(OR(G117="",F117=""),"",IF(J117&lt;=0,"Paid",IF(Settings!$C$6&lt;F117,IF(N(H117)&gt;0,"Part-paid","Not due"),IF(Settings!$C$6=F117,"Due today","Overdue"))))</f>
        <v/>
      </c>
      <c r="L117" s="27" t="str">
        <f aca="false">IF(OR(G117="",F117=""),"",IF(J117&lt;=0,"",MAX(0,Settings!$C$6-F117)))</f>
        <v/>
      </c>
      <c r="M117" s="31" t="str">
        <f aca="false">IF(OR(G117="",F117=""),"",IF(J117&lt;=0,"Paid",IF(Settings!$C$6&gt;=F117+Settings!$P$18,"E",IF(Settings!$C$6&gt;=F117+Settings!$P$17,"D",IF(Settings!$C$6&gt;=F117+Settings!$P$16,"C",IF(Settings!$C$6&gt;=F117+Settings!$P$15,"B",IF(Settings!$C$6&gt;=F117+Settings!$P$14,"A","—")))))))</f>
        <v/>
      </c>
      <c r="N117" s="28" t="str">
        <f aca="false">IF(OR(G117="",F117="",J117&lt;=0),"",IF(Settings!$C$6&lt;F117+Settings!$P$14,F117+Settings!$P$14,IF(Settings!$C$6&lt;F117+Settings!$P$15,F117+Settings!$P$15,IF(Settings!$C$6&lt;F117+Settings!$P$16,F117+Settings!$P$16,IF(Settings!$C$6&lt;F117+Settings!$P$17,F117+Settings!$P$17,IF(Settings!$C$6&lt;F117+Settings!$P$18,F117+Settings!$P$18,""))))))</f>
        <v/>
      </c>
      <c r="O117" s="22"/>
      <c r="P117" s="26"/>
      <c r="Q117" s="21" t="str">
        <f aca="false">IF(OR(M117="",M117="Paid",M117="—"),IF(M117="Paid","Paid ✓",""),IF(O117="","Send "&amp;M117&amp;" now",IF(CODE(M117)&gt;CODE(O117),"Send "&amp;M117&amp;" now","Up to date")))</f>
        <v/>
      </c>
      <c r="R117" s="22"/>
      <c r="S117" s="29" t="n">
        <f aca="false">IF(LEFT(Q117,4)="Send",1,0)</f>
        <v>0</v>
      </c>
      <c r="T117" s="29" t="str">
        <f aca="false">IF(S117=0,"",COUNTIFS($S$5:$S$204,1,$F$5:$F$204,"&lt;"&amp;F117)+COUNTIFS($S$5:$S117,1,$F$5:$F117,F117))</f>
        <v/>
      </c>
    </row>
    <row r="118" customFormat="false" ht="15" hidden="false" customHeight="false" outlineLevel="0" collapsed="false">
      <c r="A118" s="22"/>
      <c r="B118" s="22"/>
      <c r="C118" s="22"/>
      <c r="D118" s="26"/>
      <c r="E118" s="22"/>
      <c r="F118" s="28" t="str">
        <f aca="false">IF(D118="","",D118+IF(E118="",Settings!$C$7,E118))</f>
        <v/>
      </c>
      <c r="G118" s="23"/>
      <c r="H118" s="23"/>
      <c r="I118" s="26"/>
      <c r="J118" s="25" t="str">
        <f aca="false">IF(G118="","",G118-N(H118))</f>
        <v/>
      </c>
      <c r="K118" s="21" t="str">
        <f aca="false">IF(OR(G118="",F118=""),"",IF(J118&lt;=0,"Paid",IF(Settings!$C$6&lt;F118,IF(N(H118)&gt;0,"Part-paid","Not due"),IF(Settings!$C$6=F118,"Due today","Overdue"))))</f>
        <v/>
      </c>
      <c r="L118" s="27" t="str">
        <f aca="false">IF(OR(G118="",F118=""),"",IF(J118&lt;=0,"",MAX(0,Settings!$C$6-F118)))</f>
        <v/>
      </c>
      <c r="M118" s="31" t="str">
        <f aca="false">IF(OR(G118="",F118=""),"",IF(J118&lt;=0,"Paid",IF(Settings!$C$6&gt;=F118+Settings!$P$18,"E",IF(Settings!$C$6&gt;=F118+Settings!$P$17,"D",IF(Settings!$C$6&gt;=F118+Settings!$P$16,"C",IF(Settings!$C$6&gt;=F118+Settings!$P$15,"B",IF(Settings!$C$6&gt;=F118+Settings!$P$14,"A","—")))))))</f>
        <v/>
      </c>
      <c r="N118" s="28" t="str">
        <f aca="false">IF(OR(G118="",F118="",J118&lt;=0),"",IF(Settings!$C$6&lt;F118+Settings!$P$14,F118+Settings!$P$14,IF(Settings!$C$6&lt;F118+Settings!$P$15,F118+Settings!$P$15,IF(Settings!$C$6&lt;F118+Settings!$P$16,F118+Settings!$P$16,IF(Settings!$C$6&lt;F118+Settings!$P$17,F118+Settings!$P$17,IF(Settings!$C$6&lt;F118+Settings!$P$18,F118+Settings!$P$18,""))))))</f>
        <v/>
      </c>
      <c r="O118" s="22"/>
      <c r="P118" s="26"/>
      <c r="Q118" s="21" t="str">
        <f aca="false">IF(OR(M118="",M118="Paid",M118="—"),IF(M118="Paid","Paid ✓",""),IF(O118="","Send "&amp;M118&amp;" now",IF(CODE(M118)&gt;CODE(O118),"Send "&amp;M118&amp;" now","Up to date")))</f>
        <v/>
      </c>
      <c r="R118" s="22"/>
      <c r="S118" s="29" t="n">
        <f aca="false">IF(LEFT(Q118,4)="Send",1,0)</f>
        <v>0</v>
      </c>
      <c r="T118" s="29" t="str">
        <f aca="false">IF(S118=0,"",COUNTIFS($S$5:$S$204,1,$F$5:$F$204,"&lt;"&amp;F118)+COUNTIFS($S$5:$S118,1,$F$5:$F118,F118))</f>
        <v/>
      </c>
    </row>
    <row r="119" customFormat="false" ht="15" hidden="false" customHeight="false" outlineLevel="0" collapsed="false">
      <c r="A119" s="22"/>
      <c r="B119" s="22"/>
      <c r="C119" s="22"/>
      <c r="D119" s="26"/>
      <c r="E119" s="22"/>
      <c r="F119" s="28" t="str">
        <f aca="false">IF(D119="","",D119+IF(E119="",Settings!$C$7,E119))</f>
        <v/>
      </c>
      <c r="G119" s="23"/>
      <c r="H119" s="23"/>
      <c r="I119" s="26"/>
      <c r="J119" s="25" t="str">
        <f aca="false">IF(G119="","",G119-N(H119))</f>
        <v/>
      </c>
      <c r="K119" s="21" t="str">
        <f aca="false">IF(OR(G119="",F119=""),"",IF(J119&lt;=0,"Paid",IF(Settings!$C$6&lt;F119,IF(N(H119)&gt;0,"Part-paid","Not due"),IF(Settings!$C$6=F119,"Due today","Overdue"))))</f>
        <v/>
      </c>
      <c r="L119" s="27" t="str">
        <f aca="false">IF(OR(G119="",F119=""),"",IF(J119&lt;=0,"",MAX(0,Settings!$C$6-F119)))</f>
        <v/>
      </c>
      <c r="M119" s="31" t="str">
        <f aca="false">IF(OR(G119="",F119=""),"",IF(J119&lt;=0,"Paid",IF(Settings!$C$6&gt;=F119+Settings!$P$18,"E",IF(Settings!$C$6&gt;=F119+Settings!$P$17,"D",IF(Settings!$C$6&gt;=F119+Settings!$P$16,"C",IF(Settings!$C$6&gt;=F119+Settings!$P$15,"B",IF(Settings!$C$6&gt;=F119+Settings!$P$14,"A","—")))))))</f>
        <v/>
      </c>
      <c r="N119" s="28" t="str">
        <f aca="false">IF(OR(G119="",F119="",J119&lt;=0),"",IF(Settings!$C$6&lt;F119+Settings!$P$14,F119+Settings!$P$14,IF(Settings!$C$6&lt;F119+Settings!$P$15,F119+Settings!$P$15,IF(Settings!$C$6&lt;F119+Settings!$P$16,F119+Settings!$P$16,IF(Settings!$C$6&lt;F119+Settings!$P$17,F119+Settings!$P$17,IF(Settings!$C$6&lt;F119+Settings!$P$18,F119+Settings!$P$18,""))))))</f>
        <v/>
      </c>
      <c r="O119" s="22"/>
      <c r="P119" s="26"/>
      <c r="Q119" s="21" t="str">
        <f aca="false">IF(OR(M119="",M119="Paid",M119="—"),IF(M119="Paid","Paid ✓",""),IF(O119="","Send "&amp;M119&amp;" now",IF(CODE(M119)&gt;CODE(O119),"Send "&amp;M119&amp;" now","Up to date")))</f>
        <v/>
      </c>
      <c r="R119" s="22"/>
      <c r="S119" s="29" t="n">
        <f aca="false">IF(LEFT(Q119,4)="Send",1,0)</f>
        <v>0</v>
      </c>
      <c r="T119" s="29" t="str">
        <f aca="false">IF(S119=0,"",COUNTIFS($S$5:$S$204,1,$F$5:$F$204,"&lt;"&amp;F119)+COUNTIFS($S$5:$S119,1,$F$5:$F119,F119))</f>
        <v/>
      </c>
    </row>
    <row r="120" customFormat="false" ht="15" hidden="false" customHeight="false" outlineLevel="0" collapsed="false">
      <c r="A120" s="22"/>
      <c r="B120" s="22"/>
      <c r="C120" s="22"/>
      <c r="D120" s="26"/>
      <c r="E120" s="22"/>
      <c r="F120" s="28" t="str">
        <f aca="false">IF(D120="","",D120+IF(E120="",Settings!$C$7,E120))</f>
        <v/>
      </c>
      <c r="G120" s="23"/>
      <c r="H120" s="23"/>
      <c r="I120" s="26"/>
      <c r="J120" s="25" t="str">
        <f aca="false">IF(G120="","",G120-N(H120))</f>
        <v/>
      </c>
      <c r="K120" s="21" t="str">
        <f aca="false">IF(OR(G120="",F120=""),"",IF(J120&lt;=0,"Paid",IF(Settings!$C$6&lt;F120,IF(N(H120)&gt;0,"Part-paid","Not due"),IF(Settings!$C$6=F120,"Due today","Overdue"))))</f>
        <v/>
      </c>
      <c r="L120" s="27" t="str">
        <f aca="false">IF(OR(G120="",F120=""),"",IF(J120&lt;=0,"",MAX(0,Settings!$C$6-F120)))</f>
        <v/>
      </c>
      <c r="M120" s="31" t="str">
        <f aca="false">IF(OR(G120="",F120=""),"",IF(J120&lt;=0,"Paid",IF(Settings!$C$6&gt;=F120+Settings!$P$18,"E",IF(Settings!$C$6&gt;=F120+Settings!$P$17,"D",IF(Settings!$C$6&gt;=F120+Settings!$P$16,"C",IF(Settings!$C$6&gt;=F120+Settings!$P$15,"B",IF(Settings!$C$6&gt;=F120+Settings!$P$14,"A","—")))))))</f>
        <v/>
      </c>
      <c r="N120" s="28" t="str">
        <f aca="false">IF(OR(G120="",F120="",J120&lt;=0),"",IF(Settings!$C$6&lt;F120+Settings!$P$14,F120+Settings!$P$14,IF(Settings!$C$6&lt;F120+Settings!$P$15,F120+Settings!$P$15,IF(Settings!$C$6&lt;F120+Settings!$P$16,F120+Settings!$P$16,IF(Settings!$C$6&lt;F120+Settings!$P$17,F120+Settings!$P$17,IF(Settings!$C$6&lt;F120+Settings!$P$18,F120+Settings!$P$18,""))))))</f>
        <v/>
      </c>
      <c r="O120" s="22"/>
      <c r="P120" s="26"/>
      <c r="Q120" s="21" t="str">
        <f aca="false">IF(OR(M120="",M120="Paid",M120="—"),IF(M120="Paid","Paid ✓",""),IF(O120="","Send "&amp;M120&amp;" now",IF(CODE(M120)&gt;CODE(O120),"Send "&amp;M120&amp;" now","Up to date")))</f>
        <v/>
      </c>
      <c r="R120" s="22"/>
      <c r="S120" s="29" t="n">
        <f aca="false">IF(LEFT(Q120,4)="Send",1,0)</f>
        <v>0</v>
      </c>
      <c r="T120" s="29" t="str">
        <f aca="false">IF(S120=0,"",COUNTIFS($S$5:$S$204,1,$F$5:$F$204,"&lt;"&amp;F120)+COUNTIFS($S$5:$S120,1,$F$5:$F120,F120))</f>
        <v/>
      </c>
    </row>
    <row r="121" customFormat="false" ht="15" hidden="false" customHeight="false" outlineLevel="0" collapsed="false">
      <c r="A121" s="22"/>
      <c r="B121" s="22"/>
      <c r="C121" s="22"/>
      <c r="D121" s="26"/>
      <c r="E121" s="22"/>
      <c r="F121" s="28" t="str">
        <f aca="false">IF(D121="","",D121+IF(E121="",Settings!$C$7,E121))</f>
        <v/>
      </c>
      <c r="G121" s="23"/>
      <c r="H121" s="23"/>
      <c r="I121" s="26"/>
      <c r="J121" s="25" t="str">
        <f aca="false">IF(G121="","",G121-N(H121))</f>
        <v/>
      </c>
      <c r="K121" s="21" t="str">
        <f aca="false">IF(OR(G121="",F121=""),"",IF(J121&lt;=0,"Paid",IF(Settings!$C$6&lt;F121,IF(N(H121)&gt;0,"Part-paid","Not due"),IF(Settings!$C$6=F121,"Due today","Overdue"))))</f>
        <v/>
      </c>
      <c r="L121" s="27" t="str">
        <f aca="false">IF(OR(G121="",F121=""),"",IF(J121&lt;=0,"",MAX(0,Settings!$C$6-F121)))</f>
        <v/>
      </c>
      <c r="M121" s="31" t="str">
        <f aca="false">IF(OR(G121="",F121=""),"",IF(J121&lt;=0,"Paid",IF(Settings!$C$6&gt;=F121+Settings!$P$18,"E",IF(Settings!$C$6&gt;=F121+Settings!$P$17,"D",IF(Settings!$C$6&gt;=F121+Settings!$P$16,"C",IF(Settings!$C$6&gt;=F121+Settings!$P$15,"B",IF(Settings!$C$6&gt;=F121+Settings!$P$14,"A","—")))))))</f>
        <v/>
      </c>
      <c r="N121" s="28" t="str">
        <f aca="false">IF(OR(G121="",F121="",J121&lt;=0),"",IF(Settings!$C$6&lt;F121+Settings!$P$14,F121+Settings!$P$14,IF(Settings!$C$6&lt;F121+Settings!$P$15,F121+Settings!$P$15,IF(Settings!$C$6&lt;F121+Settings!$P$16,F121+Settings!$P$16,IF(Settings!$C$6&lt;F121+Settings!$P$17,F121+Settings!$P$17,IF(Settings!$C$6&lt;F121+Settings!$P$18,F121+Settings!$P$18,""))))))</f>
        <v/>
      </c>
      <c r="O121" s="22"/>
      <c r="P121" s="26"/>
      <c r="Q121" s="21" t="str">
        <f aca="false">IF(OR(M121="",M121="Paid",M121="—"),IF(M121="Paid","Paid ✓",""),IF(O121="","Send "&amp;M121&amp;" now",IF(CODE(M121)&gt;CODE(O121),"Send "&amp;M121&amp;" now","Up to date")))</f>
        <v/>
      </c>
      <c r="R121" s="22"/>
      <c r="S121" s="29" t="n">
        <f aca="false">IF(LEFT(Q121,4)="Send",1,0)</f>
        <v>0</v>
      </c>
      <c r="T121" s="29" t="str">
        <f aca="false">IF(S121=0,"",COUNTIFS($S$5:$S$204,1,$F$5:$F$204,"&lt;"&amp;F121)+COUNTIFS($S$5:$S121,1,$F$5:$F121,F121))</f>
        <v/>
      </c>
    </row>
    <row r="122" customFormat="false" ht="15" hidden="false" customHeight="false" outlineLevel="0" collapsed="false">
      <c r="A122" s="22"/>
      <c r="B122" s="22"/>
      <c r="C122" s="22"/>
      <c r="D122" s="26"/>
      <c r="E122" s="22"/>
      <c r="F122" s="28" t="str">
        <f aca="false">IF(D122="","",D122+IF(E122="",Settings!$C$7,E122))</f>
        <v/>
      </c>
      <c r="G122" s="23"/>
      <c r="H122" s="23"/>
      <c r="I122" s="26"/>
      <c r="J122" s="25" t="str">
        <f aca="false">IF(G122="","",G122-N(H122))</f>
        <v/>
      </c>
      <c r="K122" s="21" t="str">
        <f aca="false">IF(OR(G122="",F122=""),"",IF(J122&lt;=0,"Paid",IF(Settings!$C$6&lt;F122,IF(N(H122)&gt;0,"Part-paid","Not due"),IF(Settings!$C$6=F122,"Due today","Overdue"))))</f>
        <v/>
      </c>
      <c r="L122" s="27" t="str">
        <f aca="false">IF(OR(G122="",F122=""),"",IF(J122&lt;=0,"",MAX(0,Settings!$C$6-F122)))</f>
        <v/>
      </c>
      <c r="M122" s="31" t="str">
        <f aca="false">IF(OR(G122="",F122=""),"",IF(J122&lt;=0,"Paid",IF(Settings!$C$6&gt;=F122+Settings!$P$18,"E",IF(Settings!$C$6&gt;=F122+Settings!$P$17,"D",IF(Settings!$C$6&gt;=F122+Settings!$P$16,"C",IF(Settings!$C$6&gt;=F122+Settings!$P$15,"B",IF(Settings!$C$6&gt;=F122+Settings!$P$14,"A","—")))))))</f>
        <v/>
      </c>
      <c r="N122" s="28" t="str">
        <f aca="false">IF(OR(G122="",F122="",J122&lt;=0),"",IF(Settings!$C$6&lt;F122+Settings!$P$14,F122+Settings!$P$14,IF(Settings!$C$6&lt;F122+Settings!$P$15,F122+Settings!$P$15,IF(Settings!$C$6&lt;F122+Settings!$P$16,F122+Settings!$P$16,IF(Settings!$C$6&lt;F122+Settings!$P$17,F122+Settings!$P$17,IF(Settings!$C$6&lt;F122+Settings!$P$18,F122+Settings!$P$18,""))))))</f>
        <v/>
      </c>
      <c r="O122" s="22"/>
      <c r="P122" s="26"/>
      <c r="Q122" s="21" t="str">
        <f aca="false">IF(OR(M122="",M122="Paid",M122="—"),IF(M122="Paid","Paid ✓",""),IF(O122="","Send "&amp;M122&amp;" now",IF(CODE(M122)&gt;CODE(O122),"Send "&amp;M122&amp;" now","Up to date")))</f>
        <v/>
      </c>
      <c r="R122" s="22"/>
      <c r="S122" s="29" t="n">
        <f aca="false">IF(LEFT(Q122,4)="Send",1,0)</f>
        <v>0</v>
      </c>
      <c r="T122" s="29" t="str">
        <f aca="false">IF(S122=0,"",COUNTIFS($S$5:$S$204,1,$F$5:$F$204,"&lt;"&amp;F122)+COUNTIFS($S$5:$S122,1,$F$5:$F122,F122))</f>
        <v/>
      </c>
    </row>
    <row r="123" customFormat="false" ht="15" hidden="false" customHeight="false" outlineLevel="0" collapsed="false">
      <c r="A123" s="22"/>
      <c r="B123" s="22"/>
      <c r="C123" s="22"/>
      <c r="D123" s="26"/>
      <c r="E123" s="22"/>
      <c r="F123" s="28" t="str">
        <f aca="false">IF(D123="","",D123+IF(E123="",Settings!$C$7,E123))</f>
        <v/>
      </c>
      <c r="G123" s="23"/>
      <c r="H123" s="23"/>
      <c r="I123" s="26"/>
      <c r="J123" s="25" t="str">
        <f aca="false">IF(G123="","",G123-N(H123))</f>
        <v/>
      </c>
      <c r="K123" s="21" t="str">
        <f aca="false">IF(OR(G123="",F123=""),"",IF(J123&lt;=0,"Paid",IF(Settings!$C$6&lt;F123,IF(N(H123)&gt;0,"Part-paid","Not due"),IF(Settings!$C$6=F123,"Due today","Overdue"))))</f>
        <v/>
      </c>
      <c r="L123" s="27" t="str">
        <f aca="false">IF(OR(G123="",F123=""),"",IF(J123&lt;=0,"",MAX(0,Settings!$C$6-F123)))</f>
        <v/>
      </c>
      <c r="M123" s="31" t="str">
        <f aca="false">IF(OR(G123="",F123=""),"",IF(J123&lt;=0,"Paid",IF(Settings!$C$6&gt;=F123+Settings!$P$18,"E",IF(Settings!$C$6&gt;=F123+Settings!$P$17,"D",IF(Settings!$C$6&gt;=F123+Settings!$P$16,"C",IF(Settings!$C$6&gt;=F123+Settings!$P$15,"B",IF(Settings!$C$6&gt;=F123+Settings!$P$14,"A","—")))))))</f>
        <v/>
      </c>
      <c r="N123" s="28" t="str">
        <f aca="false">IF(OR(G123="",F123="",J123&lt;=0),"",IF(Settings!$C$6&lt;F123+Settings!$P$14,F123+Settings!$P$14,IF(Settings!$C$6&lt;F123+Settings!$P$15,F123+Settings!$P$15,IF(Settings!$C$6&lt;F123+Settings!$P$16,F123+Settings!$P$16,IF(Settings!$C$6&lt;F123+Settings!$P$17,F123+Settings!$P$17,IF(Settings!$C$6&lt;F123+Settings!$P$18,F123+Settings!$P$18,""))))))</f>
        <v/>
      </c>
      <c r="O123" s="22"/>
      <c r="P123" s="26"/>
      <c r="Q123" s="21" t="str">
        <f aca="false">IF(OR(M123="",M123="Paid",M123="—"),IF(M123="Paid","Paid ✓",""),IF(O123="","Send "&amp;M123&amp;" now",IF(CODE(M123)&gt;CODE(O123),"Send "&amp;M123&amp;" now","Up to date")))</f>
        <v/>
      </c>
      <c r="R123" s="22"/>
      <c r="S123" s="29" t="n">
        <f aca="false">IF(LEFT(Q123,4)="Send",1,0)</f>
        <v>0</v>
      </c>
      <c r="T123" s="29" t="str">
        <f aca="false">IF(S123=0,"",COUNTIFS($S$5:$S$204,1,$F$5:$F$204,"&lt;"&amp;F123)+COUNTIFS($S$5:$S123,1,$F$5:$F123,F123))</f>
        <v/>
      </c>
    </row>
    <row r="124" customFormat="false" ht="15" hidden="false" customHeight="false" outlineLevel="0" collapsed="false">
      <c r="A124" s="22"/>
      <c r="B124" s="22"/>
      <c r="C124" s="22"/>
      <c r="D124" s="26"/>
      <c r="E124" s="22"/>
      <c r="F124" s="28" t="str">
        <f aca="false">IF(D124="","",D124+IF(E124="",Settings!$C$7,E124))</f>
        <v/>
      </c>
      <c r="G124" s="23"/>
      <c r="H124" s="23"/>
      <c r="I124" s="26"/>
      <c r="J124" s="25" t="str">
        <f aca="false">IF(G124="","",G124-N(H124))</f>
        <v/>
      </c>
      <c r="K124" s="21" t="str">
        <f aca="false">IF(OR(G124="",F124=""),"",IF(J124&lt;=0,"Paid",IF(Settings!$C$6&lt;F124,IF(N(H124)&gt;0,"Part-paid","Not due"),IF(Settings!$C$6=F124,"Due today","Overdue"))))</f>
        <v/>
      </c>
      <c r="L124" s="27" t="str">
        <f aca="false">IF(OR(G124="",F124=""),"",IF(J124&lt;=0,"",MAX(0,Settings!$C$6-F124)))</f>
        <v/>
      </c>
      <c r="M124" s="31" t="str">
        <f aca="false">IF(OR(G124="",F124=""),"",IF(J124&lt;=0,"Paid",IF(Settings!$C$6&gt;=F124+Settings!$P$18,"E",IF(Settings!$C$6&gt;=F124+Settings!$P$17,"D",IF(Settings!$C$6&gt;=F124+Settings!$P$16,"C",IF(Settings!$C$6&gt;=F124+Settings!$P$15,"B",IF(Settings!$C$6&gt;=F124+Settings!$P$14,"A","—")))))))</f>
        <v/>
      </c>
      <c r="N124" s="28" t="str">
        <f aca="false">IF(OR(G124="",F124="",J124&lt;=0),"",IF(Settings!$C$6&lt;F124+Settings!$P$14,F124+Settings!$P$14,IF(Settings!$C$6&lt;F124+Settings!$P$15,F124+Settings!$P$15,IF(Settings!$C$6&lt;F124+Settings!$P$16,F124+Settings!$P$16,IF(Settings!$C$6&lt;F124+Settings!$P$17,F124+Settings!$P$17,IF(Settings!$C$6&lt;F124+Settings!$P$18,F124+Settings!$P$18,""))))))</f>
        <v/>
      </c>
      <c r="O124" s="22"/>
      <c r="P124" s="26"/>
      <c r="Q124" s="21" t="str">
        <f aca="false">IF(OR(M124="",M124="Paid",M124="—"),IF(M124="Paid","Paid ✓",""),IF(O124="","Send "&amp;M124&amp;" now",IF(CODE(M124)&gt;CODE(O124),"Send "&amp;M124&amp;" now","Up to date")))</f>
        <v/>
      </c>
      <c r="R124" s="22"/>
      <c r="S124" s="29" t="n">
        <f aca="false">IF(LEFT(Q124,4)="Send",1,0)</f>
        <v>0</v>
      </c>
      <c r="T124" s="29" t="str">
        <f aca="false">IF(S124=0,"",COUNTIFS($S$5:$S$204,1,$F$5:$F$204,"&lt;"&amp;F124)+COUNTIFS($S$5:$S124,1,$F$5:$F124,F124))</f>
        <v/>
      </c>
    </row>
    <row r="125" customFormat="false" ht="15" hidden="false" customHeight="false" outlineLevel="0" collapsed="false">
      <c r="A125" s="22"/>
      <c r="B125" s="22"/>
      <c r="C125" s="22"/>
      <c r="D125" s="26"/>
      <c r="E125" s="22"/>
      <c r="F125" s="28" t="str">
        <f aca="false">IF(D125="","",D125+IF(E125="",Settings!$C$7,E125))</f>
        <v/>
      </c>
      <c r="G125" s="23"/>
      <c r="H125" s="23"/>
      <c r="I125" s="26"/>
      <c r="J125" s="25" t="str">
        <f aca="false">IF(G125="","",G125-N(H125))</f>
        <v/>
      </c>
      <c r="K125" s="21" t="str">
        <f aca="false">IF(OR(G125="",F125=""),"",IF(J125&lt;=0,"Paid",IF(Settings!$C$6&lt;F125,IF(N(H125)&gt;0,"Part-paid","Not due"),IF(Settings!$C$6=F125,"Due today","Overdue"))))</f>
        <v/>
      </c>
      <c r="L125" s="27" t="str">
        <f aca="false">IF(OR(G125="",F125=""),"",IF(J125&lt;=0,"",MAX(0,Settings!$C$6-F125)))</f>
        <v/>
      </c>
      <c r="M125" s="31" t="str">
        <f aca="false">IF(OR(G125="",F125=""),"",IF(J125&lt;=0,"Paid",IF(Settings!$C$6&gt;=F125+Settings!$P$18,"E",IF(Settings!$C$6&gt;=F125+Settings!$P$17,"D",IF(Settings!$C$6&gt;=F125+Settings!$P$16,"C",IF(Settings!$C$6&gt;=F125+Settings!$P$15,"B",IF(Settings!$C$6&gt;=F125+Settings!$P$14,"A","—")))))))</f>
        <v/>
      </c>
      <c r="N125" s="28" t="str">
        <f aca="false">IF(OR(G125="",F125="",J125&lt;=0),"",IF(Settings!$C$6&lt;F125+Settings!$P$14,F125+Settings!$P$14,IF(Settings!$C$6&lt;F125+Settings!$P$15,F125+Settings!$P$15,IF(Settings!$C$6&lt;F125+Settings!$P$16,F125+Settings!$P$16,IF(Settings!$C$6&lt;F125+Settings!$P$17,F125+Settings!$P$17,IF(Settings!$C$6&lt;F125+Settings!$P$18,F125+Settings!$P$18,""))))))</f>
        <v/>
      </c>
      <c r="O125" s="22"/>
      <c r="P125" s="26"/>
      <c r="Q125" s="21" t="str">
        <f aca="false">IF(OR(M125="",M125="Paid",M125="—"),IF(M125="Paid","Paid ✓",""),IF(O125="","Send "&amp;M125&amp;" now",IF(CODE(M125)&gt;CODE(O125),"Send "&amp;M125&amp;" now","Up to date")))</f>
        <v/>
      </c>
      <c r="R125" s="22"/>
      <c r="S125" s="29" t="n">
        <f aca="false">IF(LEFT(Q125,4)="Send",1,0)</f>
        <v>0</v>
      </c>
      <c r="T125" s="29" t="str">
        <f aca="false">IF(S125=0,"",COUNTIFS($S$5:$S$204,1,$F$5:$F$204,"&lt;"&amp;F125)+COUNTIFS($S$5:$S125,1,$F$5:$F125,F125))</f>
        <v/>
      </c>
    </row>
    <row r="126" customFormat="false" ht="15" hidden="false" customHeight="false" outlineLevel="0" collapsed="false">
      <c r="A126" s="22"/>
      <c r="B126" s="22"/>
      <c r="C126" s="22"/>
      <c r="D126" s="26"/>
      <c r="E126" s="22"/>
      <c r="F126" s="28" t="str">
        <f aca="false">IF(D126="","",D126+IF(E126="",Settings!$C$7,E126))</f>
        <v/>
      </c>
      <c r="G126" s="23"/>
      <c r="H126" s="23"/>
      <c r="I126" s="26"/>
      <c r="J126" s="25" t="str">
        <f aca="false">IF(G126="","",G126-N(H126))</f>
        <v/>
      </c>
      <c r="K126" s="21" t="str">
        <f aca="false">IF(OR(G126="",F126=""),"",IF(J126&lt;=0,"Paid",IF(Settings!$C$6&lt;F126,IF(N(H126)&gt;0,"Part-paid","Not due"),IF(Settings!$C$6=F126,"Due today","Overdue"))))</f>
        <v/>
      </c>
      <c r="L126" s="27" t="str">
        <f aca="false">IF(OR(G126="",F126=""),"",IF(J126&lt;=0,"",MAX(0,Settings!$C$6-F126)))</f>
        <v/>
      </c>
      <c r="M126" s="31" t="str">
        <f aca="false">IF(OR(G126="",F126=""),"",IF(J126&lt;=0,"Paid",IF(Settings!$C$6&gt;=F126+Settings!$P$18,"E",IF(Settings!$C$6&gt;=F126+Settings!$P$17,"D",IF(Settings!$C$6&gt;=F126+Settings!$P$16,"C",IF(Settings!$C$6&gt;=F126+Settings!$P$15,"B",IF(Settings!$C$6&gt;=F126+Settings!$P$14,"A","—")))))))</f>
        <v/>
      </c>
      <c r="N126" s="28" t="str">
        <f aca="false">IF(OR(G126="",F126="",J126&lt;=0),"",IF(Settings!$C$6&lt;F126+Settings!$P$14,F126+Settings!$P$14,IF(Settings!$C$6&lt;F126+Settings!$P$15,F126+Settings!$P$15,IF(Settings!$C$6&lt;F126+Settings!$P$16,F126+Settings!$P$16,IF(Settings!$C$6&lt;F126+Settings!$P$17,F126+Settings!$P$17,IF(Settings!$C$6&lt;F126+Settings!$P$18,F126+Settings!$P$18,""))))))</f>
        <v/>
      </c>
      <c r="O126" s="22"/>
      <c r="P126" s="26"/>
      <c r="Q126" s="21" t="str">
        <f aca="false">IF(OR(M126="",M126="Paid",M126="—"),IF(M126="Paid","Paid ✓",""),IF(O126="","Send "&amp;M126&amp;" now",IF(CODE(M126)&gt;CODE(O126),"Send "&amp;M126&amp;" now","Up to date")))</f>
        <v/>
      </c>
      <c r="R126" s="22"/>
      <c r="S126" s="29" t="n">
        <f aca="false">IF(LEFT(Q126,4)="Send",1,0)</f>
        <v>0</v>
      </c>
      <c r="T126" s="29" t="str">
        <f aca="false">IF(S126=0,"",COUNTIFS($S$5:$S$204,1,$F$5:$F$204,"&lt;"&amp;F126)+COUNTIFS($S$5:$S126,1,$F$5:$F126,F126))</f>
        <v/>
      </c>
    </row>
    <row r="127" customFormat="false" ht="15" hidden="false" customHeight="false" outlineLevel="0" collapsed="false">
      <c r="A127" s="22"/>
      <c r="B127" s="22"/>
      <c r="C127" s="22"/>
      <c r="D127" s="26"/>
      <c r="E127" s="22"/>
      <c r="F127" s="28" t="str">
        <f aca="false">IF(D127="","",D127+IF(E127="",Settings!$C$7,E127))</f>
        <v/>
      </c>
      <c r="G127" s="23"/>
      <c r="H127" s="23"/>
      <c r="I127" s="26"/>
      <c r="J127" s="25" t="str">
        <f aca="false">IF(G127="","",G127-N(H127))</f>
        <v/>
      </c>
      <c r="K127" s="21" t="str">
        <f aca="false">IF(OR(G127="",F127=""),"",IF(J127&lt;=0,"Paid",IF(Settings!$C$6&lt;F127,IF(N(H127)&gt;0,"Part-paid","Not due"),IF(Settings!$C$6=F127,"Due today","Overdue"))))</f>
        <v/>
      </c>
      <c r="L127" s="27" t="str">
        <f aca="false">IF(OR(G127="",F127=""),"",IF(J127&lt;=0,"",MAX(0,Settings!$C$6-F127)))</f>
        <v/>
      </c>
      <c r="M127" s="31" t="str">
        <f aca="false">IF(OR(G127="",F127=""),"",IF(J127&lt;=0,"Paid",IF(Settings!$C$6&gt;=F127+Settings!$P$18,"E",IF(Settings!$C$6&gt;=F127+Settings!$P$17,"D",IF(Settings!$C$6&gt;=F127+Settings!$P$16,"C",IF(Settings!$C$6&gt;=F127+Settings!$P$15,"B",IF(Settings!$C$6&gt;=F127+Settings!$P$14,"A","—")))))))</f>
        <v/>
      </c>
      <c r="N127" s="28" t="str">
        <f aca="false">IF(OR(G127="",F127="",J127&lt;=0),"",IF(Settings!$C$6&lt;F127+Settings!$P$14,F127+Settings!$P$14,IF(Settings!$C$6&lt;F127+Settings!$P$15,F127+Settings!$P$15,IF(Settings!$C$6&lt;F127+Settings!$P$16,F127+Settings!$P$16,IF(Settings!$C$6&lt;F127+Settings!$P$17,F127+Settings!$P$17,IF(Settings!$C$6&lt;F127+Settings!$P$18,F127+Settings!$P$18,""))))))</f>
        <v/>
      </c>
      <c r="O127" s="22"/>
      <c r="P127" s="26"/>
      <c r="Q127" s="21" t="str">
        <f aca="false">IF(OR(M127="",M127="Paid",M127="—"),IF(M127="Paid","Paid ✓",""),IF(O127="","Send "&amp;M127&amp;" now",IF(CODE(M127)&gt;CODE(O127),"Send "&amp;M127&amp;" now","Up to date")))</f>
        <v/>
      </c>
      <c r="R127" s="22"/>
      <c r="S127" s="29" t="n">
        <f aca="false">IF(LEFT(Q127,4)="Send",1,0)</f>
        <v>0</v>
      </c>
      <c r="T127" s="29" t="str">
        <f aca="false">IF(S127=0,"",COUNTIFS($S$5:$S$204,1,$F$5:$F$204,"&lt;"&amp;F127)+COUNTIFS($S$5:$S127,1,$F$5:$F127,F127))</f>
        <v/>
      </c>
    </row>
    <row r="128" customFormat="false" ht="15" hidden="false" customHeight="false" outlineLevel="0" collapsed="false">
      <c r="A128" s="22"/>
      <c r="B128" s="22"/>
      <c r="C128" s="22"/>
      <c r="D128" s="26"/>
      <c r="E128" s="22"/>
      <c r="F128" s="28" t="str">
        <f aca="false">IF(D128="","",D128+IF(E128="",Settings!$C$7,E128))</f>
        <v/>
      </c>
      <c r="G128" s="23"/>
      <c r="H128" s="23"/>
      <c r="I128" s="26"/>
      <c r="J128" s="25" t="str">
        <f aca="false">IF(G128="","",G128-N(H128))</f>
        <v/>
      </c>
      <c r="K128" s="21" t="str">
        <f aca="false">IF(OR(G128="",F128=""),"",IF(J128&lt;=0,"Paid",IF(Settings!$C$6&lt;F128,IF(N(H128)&gt;0,"Part-paid","Not due"),IF(Settings!$C$6=F128,"Due today","Overdue"))))</f>
        <v/>
      </c>
      <c r="L128" s="27" t="str">
        <f aca="false">IF(OR(G128="",F128=""),"",IF(J128&lt;=0,"",MAX(0,Settings!$C$6-F128)))</f>
        <v/>
      </c>
      <c r="M128" s="31" t="str">
        <f aca="false">IF(OR(G128="",F128=""),"",IF(J128&lt;=0,"Paid",IF(Settings!$C$6&gt;=F128+Settings!$P$18,"E",IF(Settings!$C$6&gt;=F128+Settings!$P$17,"D",IF(Settings!$C$6&gt;=F128+Settings!$P$16,"C",IF(Settings!$C$6&gt;=F128+Settings!$P$15,"B",IF(Settings!$C$6&gt;=F128+Settings!$P$14,"A","—")))))))</f>
        <v/>
      </c>
      <c r="N128" s="28" t="str">
        <f aca="false">IF(OR(G128="",F128="",J128&lt;=0),"",IF(Settings!$C$6&lt;F128+Settings!$P$14,F128+Settings!$P$14,IF(Settings!$C$6&lt;F128+Settings!$P$15,F128+Settings!$P$15,IF(Settings!$C$6&lt;F128+Settings!$P$16,F128+Settings!$P$16,IF(Settings!$C$6&lt;F128+Settings!$P$17,F128+Settings!$P$17,IF(Settings!$C$6&lt;F128+Settings!$P$18,F128+Settings!$P$18,""))))))</f>
        <v/>
      </c>
      <c r="O128" s="22"/>
      <c r="P128" s="26"/>
      <c r="Q128" s="21" t="str">
        <f aca="false">IF(OR(M128="",M128="Paid",M128="—"),IF(M128="Paid","Paid ✓",""),IF(O128="","Send "&amp;M128&amp;" now",IF(CODE(M128)&gt;CODE(O128),"Send "&amp;M128&amp;" now","Up to date")))</f>
        <v/>
      </c>
      <c r="R128" s="22"/>
      <c r="S128" s="29" t="n">
        <f aca="false">IF(LEFT(Q128,4)="Send",1,0)</f>
        <v>0</v>
      </c>
      <c r="T128" s="29" t="str">
        <f aca="false">IF(S128=0,"",COUNTIFS($S$5:$S$204,1,$F$5:$F$204,"&lt;"&amp;F128)+COUNTIFS($S$5:$S128,1,$F$5:$F128,F128))</f>
        <v/>
      </c>
    </row>
    <row r="129" customFormat="false" ht="15" hidden="false" customHeight="false" outlineLevel="0" collapsed="false">
      <c r="A129" s="22"/>
      <c r="B129" s="22"/>
      <c r="C129" s="22"/>
      <c r="D129" s="26"/>
      <c r="E129" s="22"/>
      <c r="F129" s="28" t="str">
        <f aca="false">IF(D129="","",D129+IF(E129="",Settings!$C$7,E129))</f>
        <v/>
      </c>
      <c r="G129" s="23"/>
      <c r="H129" s="23"/>
      <c r="I129" s="26"/>
      <c r="J129" s="25" t="str">
        <f aca="false">IF(G129="","",G129-N(H129))</f>
        <v/>
      </c>
      <c r="K129" s="21" t="str">
        <f aca="false">IF(OR(G129="",F129=""),"",IF(J129&lt;=0,"Paid",IF(Settings!$C$6&lt;F129,IF(N(H129)&gt;0,"Part-paid","Not due"),IF(Settings!$C$6=F129,"Due today","Overdue"))))</f>
        <v/>
      </c>
      <c r="L129" s="27" t="str">
        <f aca="false">IF(OR(G129="",F129=""),"",IF(J129&lt;=0,"",MAX(0,Settings!$C$6-F129)))</f>
        <v/>
      </c>
      <c r="M129" s="31" t="str">
        <f aca="false">IF(OR(G129="",F129=""),"",IF(J129&lt;=0,"Paid",IF(Settings!$C$6&gt;=F129+Settings!$P$18,"E",IF(Settings!$C$6&gt;=F129+Settings!$P$17,"D",IF(Settings!$C$6&gt;=F129+Settings!$P$16,"C",IF(Settings!$C$6&gt;=F129+Settings!$P$15,"B",IF(Settings!$C$6&gt;=F129+Settings!$P$14,"A","—")))))))</f>
        <v/>
      </c>
      <c r="N129" s="28" t="str">
        <f aca="false">IF(OR(G129="",F129="",J129&lt;=0),"",IF(Settings!$C$6&lt;F129+Settings!$P$14,F129+Settings!$P$14,IF(Settings!$C$6&lt;F129+Settings!$P$15,F129+Settings!$P$15,IF(Settings!$C$6&lt;F129+Settings!$P$16,F129+Settings!$P$16,IF(Settings!$C$6&lt;F129+Settings!$P$17,F129+Settings!$P$17,IF(Settings!$C$6&lt;F129+Settings!$P$18,F129+Settings!$P$18,""))))))</f>
        <v/>
      </c>
      <c r="O129" s="22"/>
      <c r="P129" s="26"/>
      <c r="Q129" s="21" t="str">
        <f aca="false">IF(OR(M129="",M129="Paid",M129="—"),IF(M129="Paid","Paid ✓",""),IF(O129="","Send "&amp;M129&amp;" now",IF(CODE(M129)&gt;CODE(O129),"Send "&amp;M129&amp;" now","Up to date")))</f>
        <v/>
      </c>
      <c r="R129" s="22"/>
      <c r="S129" s="29" t="n">
        <f aca="false">IF(LEFT(Q129,4)="Send",1,0)</f>
        <v>0</v>
      </c>
      <c r="T129" s="29" t="str">
        <f aca="false">IF(S129=0,"",COUNTIFS($S$5:$S$204,1,$F$5:$F$204,"&lt;"&amp;F129)+COUNTIFS($S$5:$S129,1,$F$5:$F129,F129))</f>
        <v/>
      </c>
    </row>
    <row r="130" customFormat="false" ht="15" hidden="false" customHeight="false" outlineLevel="0" collapsed="false">
      <c r="A130" s="22"/>
      <c r="B130" s="22"/>
      <c r="C130" s="22"/>
      <c r="D130" s="26"/>
      <c r="E130" s="22"/>
      <c r="F130" s="28" t="str">
        <f aca="false">IF(D130="","",D130+IF(E130="",Settings!$C$7,E130))</f>
        <v/>
      </c>
      <c r="G130" s="23"/>
      <c r="H130" s="23"/>
      <c r="I130" s="26"/>
      <c r="J130" s="25" t="str">
        <f aca="false">IF(G130="","",G130-N(H130))</f>
        <v/>
      </c>
      <c r="K130" s="21" t="str">
        <f aca="false">IF(OR(G130="",F130=""),"",IF(J130&lt;=0,"Paid",IF(Settings!$C$6&lt;F130,IF(N(H130)&gt;0,"Part-paid","Not due"),IF(Settings!$C$6=F130,"Due today","Overdue"))))</f>
        <v/>
      </c>
      <c r="L130" s="27" t="str">
        <f aca="false">IF(OR(G130="",F130=""),"",IF(J130&lt;=0,"",MAX(0,Settings!$C$6-F130)))</f>
        <v/>
      </c>
      <c r="M130" s="31" t="str">
        <f aca="false">IF(OR(G130="",F130=""),"",IF(J130&lt;=0,"Paid",IF(Settings!$C$6&gt;=F130+Settings!$P$18,"E",IF(Settings!$C$6&gt;=F130+Settings!$P$17,"D",IF(Settings!$C$6&gt;=F130+Settings!$P$16,"C",IF(Settings!$C$6&gt;=F130+Settings!$P$15,"B",IF(Settings!$C$6&gt;=F130+Settings!$P$14,"A","—")))))))</f>
        <v/>
      </c>
      <c r="N130" s="28" t="str">
        <f aca="false">IF(OR(G130="",F130="",J130&lt;=0),"",IF(Settings!$C$6&lt;F130+Settings!$P$14,F130+Settings!$P$14,IF(Settings!$C$6&lt;F130+Settings!$P$15,F130+Settings!$P$15,IF(Settings!$C$6&lt;F130+Settings!$P$16,F130+Settings!$P$16,IF(Settings!$C$6&lt;F130+Settings!$P$17,F130+Settings!$P$17,IF(Settings!$C$6&lt;F130+Settings!$P$18,F130+Settings!$P$18,""))))))</f>
        <v/>
      </c>
      <c r="O130" s="22"/>
      <c r="P130" s="26"/>
      <c r="Q130" s="21" t="str">
        <f aca="false">IF(OR(M130="",M130="Paid",M130="—"),IF(M130="Paid","Paid ✓",""),IF(O130="","Send "&amp;M130&amp;" now",IF(CODE(M130)&gt;CODE(O130),"Send "&amp;M130&amp;" now","Up to date")))</f>
        <v/>
      </c>
      <c r="R130" s="22"/>
      <c r="S130" s="29" t="n">
        <f aca="false">IF(LEFT(Q130,4)="Send",1,0)</f>
        <v>0</v>
      </c>
      <c r="T130" s="29" t="str">
        <f aca="false">IF(S130=0,"",COUNTIFS($S$5:$S$204,1,$F$5:$F$204,"&lt;"&amp;F130)+COUNTIFS($S$5:$S130,1,$F$5:$F130,F130))</f>
        <v/>
      </c>
    </row>
    <row r="131" customFormat="false" ht="15" hidden="false" customHeight="false" outlineLevel="0" collapsed="false">
      <c r="A131" s="22"/>
      <c r="B131" s="22"/>
      <c r="C131" s="22"/>
      <c r="D131" s="26"/>
      <c r="E131" s="22"/>
      <c r="F131" s="28" t="str">
        <f aca="false">IF(D131="","",D131+IF(E131="",Settings!$C$7,E131))</f>
        <v/>
      </c>
      <c r="G131" s="23"/>
      <c r="H131" s="23"/>
      <c r="I131" s="26"/>
      <c r="J131" s="25" t="str">
        <f aca="false">IF(G131="","",G131-N(H131))</f>
        <v/>
      </c>
      <c r="K131" s="21" t="str">
        <f aca="false">IF(OR(G131="",F131=""),"",IF(J131&lt;=0,"Paid",IF(Settings!$C$6&lt;F131,IF(N(H131)&gt;0,"Part-paid","Not due"),IF(Settings!$C$6=F131,"Due today","Overdue"))))</f>
        <v/>
      </c>
      <c r="L131" s="27" t="str">
        <f aca="false">IF(OR(G131="",F131=""),"",IF(J131&lt;=0,"",MAX(0,Settings!$C$6-F131)))</f>
        <v/>
      </c>
      <c r="M131" s="31" t="str">
        <f aca="false">IF(OR(G131="",F131=""),"",IF(J131&lt;=0,"Paid",IF(Settings!$C$6&gt;=F131+Settings!$P$18,"E",IF(Settings!$C$6&gt;=F131+Settings!$P$17,"D",IF(Settings!$C$6&gt;=F131+Settings!$P$16,"C",IF(Settings!$C$6&gt;=F131+Settings!$P$15,"B",IF(Settings!$C$6&gt;=F131+Settings!$P$14,"A","—")))))))</f>
        <v/>
      </c>
      <c r="N131" s="28" t="str">
        <f aca="false">IF(OR(G131="",F131="",J131&lt;=0),"",IF(Settings!$C$6&lt;F131+Settings!$P$14,F131+Settings!$P$14,IF(Settings!$C$6&lt;F131+Settings!$P$15,F131+Settings!$P$15,IF(Settings!$C$6&lt;F131+Settings!$P$16,F131+Settings!$P$16,IF(Settings!$C$6&lt;F131+Settings!$P$17,F131+Settings!$P$17,IF(Settings!$C$6&lt;F131+Settings!$P$18,F131+Settings!$P$18,""))))))</f>
        <v/>
      </c>
      <c r="O131" s="22"/>
      <c r="P131" s="26"/>
      <c r="Q131" s="21" t="str">
        <f aca="false">IF(OR(M131="",M131="Paid",M131="—"),IF(M131="Paid","Paid ✓",""),IF(O131="","Send "&amp;M131&amp;" now",IF(CODE(M131)&gt;CODE(O131),"Send "&amp;M131&amp;" now","Up to date")))</f>
        <v/>
      </c>
      <c r="R131" s="22"/>
      <c r="S131" s="29" t="n">
        <f aca="false">IF(LEFT(Q131,4)="Send",1,0)</f>
        <v>0</v>
      </c>
      <c r="T131" s="29" t="str">
        <f aca="false">IF(S131=0,"",COUNTIFS($S$5:$S$204,1,$F$5:$F$204,"&lt;"&amp;F131)+COUNTIFS($S$5:$S131,1,$F$5:$F131,F131))</f>
        <v/>
      </c>
    </row>
    <row r="132" customFormat="false" ht="15" hidden="false" customHeight="false" outlineLevel="0" collapsed="false">
      <c r="A132" s="22"/>
      <c r="B132" s="22"/>
      <c r="C132" s="22"/>
      <c r="D132" s="26"/>
      <c r="E132" s="22"/>
      <c r="F132" s="28" t="str">
        <f aca="false">IF(D132="","",D132+IF(E132="",Settings!$C$7,E132))</f>
        <v/>
      </c>
      <c r="G132" s="23"/>
      <c r="H132" s="23"/>
      <c r="I132" s="26"/>
      <c r="J132" s="25" t="str">
        <f aca="false">IF(G132="","",G132-N(H132))</f>
        <v/>
      </c>
      <c r="K132" s="21" t="str">
        <f aca="false">IF(OR(G132="",F132=""),"",IF(J132&lt;=0,"Paid",IF(Settings!$C$6&lt;F132,IF(N(H132)&gt;0,"Part-paid","Not due"),IF(Settings!$C$6=F132,"Due today","Overdue"))))</f>
        <v/>
      </c>
      <c r="L132" s="27" t="str">
        <f aca="false">IF(OR(G132="",F132=""),"",IF(J132&lt;=0,"",MAX(0,Settings!$C$6-F132)))</f>
        <v/>
      </c>
      <c r="M132" s="31" t="str">
        <f aca="false">IF(OR(G132="",F132=""),"",IF(J132&lt;=0,"Paid",IF(Settings!$C$6&gt;=F132+Settings!$P$18,"E",IF(Settings!$C$6&gt;=F132+Settings!$P$17,"D",IF(Settings!$C$6&gt;=F132+Settings!$P$16,"C",IF(Settings!$C$6&gt;=F132+Settings!$P$15,"B",IF(Settings!$C$6&gt;=F132+Settings!$P$14,"A","—")))))))</f>
        <v/>
      </c>
      <c r="N132" s="28" t="str">
        <f aca="false">IF(OR(G132="",F132="",J132&lt;=0),"",IF(Settings!$C$6&lt;F132+Settings!$P$14,F132+Settings!$P$14,IF(Settings!$C$6&lt;F132+Settings!$P$15,F132+Settings!$P$15,IF(Settings!$C$6&lt;F132+Settings!$P$16,F132+Settings!$P$16,IF(Settings!$C$6&lt;F132+Settings!$P$17,F132+Settings!$P$17,IF(Settings!$C$6&lt;F132+Settings!$P$18,F132+Settings!$P$18,""))))))</f>
        <v/>
      </c>
      <c r="O132" s="22"/>
      <c r="P132" s="26"/>
      <c r="Q132" s="21" t="str">
        <f aca="false">IF(OR(M132="",M132="Paid",M132="—"),IF(M132="Paid","Paid ✓",""),IF(O132="","Send "&amp;M132&amp;" now",IF(CODE(M132)&gt;CODE(O132),"Send "&amp;M132&amp;" now","Up to date")))</f>
        <v/>
      </c>
      <c r="R132" s="22"/>
      <c r="S132" s="29" t="n">
        <f aca="false">IF(LEFT(Q132,4)="Send",1,0)</f>
        <v>0</v>
      </c>
      <c r="T132" s="29" t="str">
        <f aca="false">IF(S132=0,"",COUNTIFS($S$5:$S$204,1,$F$5:$F$204,"&lt;"&amp;F132)+COUNTIFS($S$5:$S132,1,$F$5:$F132,F132))</f>
        <v/>
      </c>
    </row>
    <row r="133" customFormat="false" ht="15" hidden="false" customHeight="false" outlineLevel="0" collapsed="false">
      <c r="A133" s="22"/>
      <c r="B133" s="22"/>
      <c r="C133" s="22"/>
      <c r="D133" s="26"/>
      <c r="E133" s="22"/>
      <c r="F133" s="28" t="str">
        <f aca="false">IF(D133="","",D133+IF(E133="",Settings!$C$7,E133))</f>
        <v/>
      </c>
      <c r="G133" s="23"/>
      <c r="H133" s="23"/>
      <c r="I133" s="26"/>
      <c r="J133" s="25" t="str">
        <f aca="false">IF(G133="","",G133-N(H133))</f>
        <v/>
      </c>
      <c r="K133" s="21" t="str">
        <f aca="false">IF(OR(G133="",F133=""),"",IF(J133&lt;=0,"Paid",IF(Settings!$C$6&lt;F133,IF(N(H133)&gt;0,"Part-paid","Not due"),IF(Settings!$C$6=F133,"Due today","Overdue"))))</f>
        <v/>
      </c>
      <c r="L133" s="27" t="str">
        <f aca="false">IF(OR(G133="",F133=""),"",IF(J133&lt;=0,"",MAX(0,Settings!$C$6-F133)))</f>
        <v/>
      </c>
      <c r="M133" s="31" t="str">
        <f aca="false">IF(OR(G133="",F133=""),"",IF(J133&lt;=0,"Paid",IF(Settings!$C$6&gt;=F133+Settings!$P$18,"E",IF(Settings!$C$6&gt;=F133+Settings!$P$17,"D",IF(Settings!$C$6&gt;=F133+Settings!$P$16,"C",IF(Settings!$C$6&gt;=F133+Settings!$P$15,"B",IF(Settings!$C$6&gt;=F133+Settings!$P$14,"A","—")))))))</f>
        <v/>
      </c>
      <c r="N133" s="28" t="str">
        <f aca="false">IF(OR(G133="",F133="",J133&lt;=0),"",IF(Settings!$C$6&lt;F133+Settings!$P$14,F133+Settings!$P$14,IF(Settings!$C$6&lt;F133+Settings!$P$15,F133+Settings!$P$15,IF(Settings!$C$6&lt;F133+Settings!$P$16,F133+Settings!$P$16,IF(Settings!$C$6&lt;F133+Settings!$P$17,F133+Settings!$P$17,IF(Settings!$C$6&lt;F133+Settings!$P$18,F133+Settings!$P$18,""))))))</f>
        <v/>
      </c>
      <c r="O133" s="22"/>
      <c r="P133" s="26"/>
      <c r="Q133" s="21" t="str">
        <f aca="false">IF(OR(M133="",M133="Paid",M133="—"),IF(M133="Paid","Paid ✓",""),IF(O133="","Send "&amp;M133&amp;" now",IF(CODE(M133)&gt;CODE(O133),"Send "&amp;M133&amp;" now","Up to date")))</f>
        <v/>
      </c>
      <c r="R133" s="22"/>
      <c r="S133" s="29" t="n">
        <f aca="false">IF(LEFT(Q133,4)="Send",1,0)</f>
        <v>0</v>
      </c>
      <c r="T133" s="29" t="str">
        <f aca="false">IF(S133=0,"",COUNTIFS($S$5:$S$204,1,$F$5:$F$204,"&lt;"&amp;F133)+COUNTIFS($S$5:$S133,1,$F$5:$F133,F133))</f>
        <v/>
      </c>
    </row>
    <row r="134" customFormat="false" ht="15" hidden="false" customHeight="false" outlineLevel="0" collapsed="false">
      <c r="A134" s="22"/>
      <c r="B134" s="22"/>
      <c r="C134" s="22"/>
      <c r="D134" s="26"/>
      <c r="E134" s="22"/>
      <c r="F134" s="28" t="str">
        <f aca="false">IF(D134="","",D134+IF(E134="",Settings!$C$7,E134))</f>
        <v/>
      </c>
      <c r="G134" s="23"/>
      <c r="H134" s="23"/>
      <c r="I134" s="26"/>
      <c r="J134" s="25" t="str">
        <f aca="false">IF(G134="","",G134-N(H134))</f>
        <v/>
      </c>
      <c r="K134" s="21" t="str">
        <f aca="false">IF(OR(G134="",F134=""),"",IF(J134&lt;=0,"Paid",IF(Settings!$C$6&lt;F134,IF(N(H134)&gt;0,"Part-paid","Not due"),IF(Settings!$C$6=F134,"Due today","Overdue"))))</f>
        <v/>
      </c>
      <c r="L134" s="27" t="str">
        <f aca="false">IF(OR(G134="",F134=""),"",IF(J134&lt;=0,"",MAX(0,Settings!$C$6-F134)))</f>
        <v/>
      </c>
      <c r="M134" s="31" t="str">
        <f aca="false">IF(OR(G134="",F134=""),"",IF(J134&lt;=0,"Paid",IF(Settings!$C$6&gt;=F134+Settings!$P$18,"E",IF(Settings!$C$6&gt;=F134+Settings!$P$17,"D",IF(Settings!$C$6&gt;=F134+Settings!$P$16,"C",IF(Settings!$C$6&gt;=F134+Settings!$P$15,"B",IF(Settings!$C$6&gt;=F134+Settings!$P$14,"A","—")))))))</f>
        <v/>
      </c>
      <c r="N134" s="28" t="str">
        <f aca="false">IF(OR(G134="",F134="",J134&lt;=0),"",IF(Settings!$C$6&lt;F134+Settings!$P$14,F134+Settings!$P$14,IF(Settings!$C$6&lt;F134+Settings!$P$15,F134+Settings!$P$15,IF(Settings!$C$6&lt;F134+Settings!$P$16,F134+Settings!$P$16,IF(Settings!$C$6&lt;F134+Settings!$P$17,F134+Settings!$P$17,IF(Settings!$C$6&lt;F134+Settings!$P$18,F134+Settings!$P$18,""))))))</f>
        <v/>
      </c>
      <c r="O134" s="22"/>
      <c r="P134" s="26"/>
      <c r="Q134" s="21" t="str">
        <f aca="false">IF(OR(M134="",M134="Paid",M134="—"),IF(M134="Paid","Paid ✓",""),IF(O134="","Send "&amp;M134&amp;" now",IF(CODE(M134)&gt;CODE(O134),"Send "&amp;M134&amp;" now","Up to date")))</f>
        <v/>
      </c>
      <c r="R134" s="22"/>
      <c r="S134" s="29" t="n">
        <f aca="false">IF(LEFT(Q134,4)="Send",1,0)</f>
        <v>0</v>
      </c>
      <c r="T134" s="29" t="str">
        <f aca="false">IF(S134=0,"",COUNTIFS($S$5:$S$204,1,$F$5:$F$204,"&lt;"&amp;F134)+COUNTIFS($S$5:$S134,1,$F$5:$F134,F134))</f>
        <v/>
      </c>
    </row>
    <row r="135" customFormat="false" ht="15" hidden="false" customHeight="false" outlineLevel="0" collapsed="false">
      <c r="A135" s="22"/>
      <c r="B135" s="22"/>
      <c r="C135" s="22"/>
      <c r="D135" s="26"/>
      <c r="E135" s="22"/>
      <c r="F135" s="28" t="str">
        <f aca="false">IF(D135="","",D135+IF(E135="",Settings!$C$7,E135))</f>
        <v/>
      </c>
      <c r="G135" s="23"/>
      <c r="H135" s="23"/>
      <c r="I135" s="26"/>
      <c r="J135" s="25" t="str">
        <f aca="false">IF(G135="","",G135-N(H135))</f>
        <v/>
      </c>
      <c r="K135" s="21" t="str">
        <f aca="false">IF(OR(G135="",F135=""),"",IF(J135&lt;=0,"Paid",IF(Settings!$C$6&lt;F135,IF(N(H135)&gt;0,"Part-paid","Not due"),IF(Settings!$C$6=F135,"Due today","Overdue"))))</f>
        <v/>
      </c>
      <c r="L135" s="27" t="str">
        <f aca="false">IF(OR(G135="",F135=""),"",IF(J135&lt;=0,"",MAX(0,Settings!$C$6-F135)))</f>
        <v/>
      </c>
      <c r="M135" s="31" t="str">
        <f aca="false">IF(OR(G135="",F135=""),"",IF(J135&lt;=0,"Paid",IF(Settings!$C$6&gt;=F135+Settings!$P$18,"E",IF(Settings!$C$6&gt;=F135+Settings!$P$17,"D",IF(Settings!$C$6&gt;=F135+Settings!$P$16,"C",IF(Settings!$C$6&gt;=F135+Settings!$P$15,"B",IF(Settings!$C$6&gt;=F135+Settings!$P$14,"A","—")))))))</f>
        <v/>
      </c>
      <c r="N135" s="28" t="str">
        <f aca="false">IF(OR(G135="",F135="",J135&lt;=0),"",IF(Settings!$C$6&lt;F135+Settings!$P$14,F135+Settings!$P$14,IF(Settings!$C$6&lt;F135+Settings!$P$15,F135+Settings!$P$15,IF(Settings!$C$6&lt;F135+Settings!$P$16,F135+Settings!$P$16,IF(Settings!$C$6&lt;F135+Settings!$P$17,F135+Settings!$P$17,IF(Settings!$C$6&lt;F135+Settings!$P$18,F135+Settings!$P$18,""))))))</f>
        <v/>
      </c>
      <c r="O135" s="22"/>
      <c r="P135" s="26"/>
      <c r="Q135" s="21" t="str">
        <f aca="false">IF(OR(M135="",M135="Paid",M135="—"),IF(M135="Paid","Paid ✓",""),IF(O135="","Send "&amp;M135&amp;" now",IF(CODE(M135)&gt;CODE(O135),"Send "&amp;M135&amp;" now","Up to date")))</f>
        <v/>
      </c>
      <c r="R135" s="22"/>
      <c r="S135" s="29" t="n">
        <f aca="false">IF(LEFT(Q135,4)="Send",1,0)</f>
        <v>0</v>
      </c>
      <c r="T135" s="29" t="str">
        <f aca="false">IF(S135=0,"",COUNTIFS($S$5:$S$204,1,$F$5:$F$204,"&lt;"&amp;F135)+COUNTIFS($S$5:$S135,1,$F$5:$F135,F135))</f>
        <v/>
      </c>
    </row>
    <row r="136" customFormat="false" ht="15" hidden="false" customHeight="false" outlineLevel="0" collapsed="false">
      <c r="A136" s="22"/>
      <c r="B136" s="22"/>
      <c r="C136" s="22"/>
      <c r="D136" s="26"/>
      <c r="E136" s="22"/>
      <c r="F136" s="28" t="str">
        <f aca="false">IF(D136="","",D136+IF(E136="",Settings!$C$7,E136))</f>
        <v/>
      </c>
      <c r="G136" s="23"/>
      <c r="H136" s="23"/>
      <c r="I136" s="26"/>
      <c r="J136" s="25" t="str">
        <f aca="false">IF(G136="","",G136-N(H136))</f>
        <v/>
      </c>
      <c r="K136" s="21" t="str">
        <f aca="false">IF(OR(G136="",F136=""),"",IF(J136&lt;=0,"Paid",IF(Settings!$C$6&lt;F136,IF(N(H136)&gt;0,"Part-paid","Not due"),IF(Settings!$C$6=F136,"Due today","Overdue"))))</f>
        <v/>
      </c>
      <c r="L136" s="27" t="str">
        <f aca="false">IF(OR(G136="",F136=""),"",IF(J136&lt;=0,"",MAX(0,Settings!$C$6-F136)))</f>
        <v/>
      </c>
      <c r="M136" s="31" t="str">
        <f aca="false">IF(OR(G136="",F136=""),"",IF(J136&lt;=0,"Paid",IF(Settings!$C$6&gt;=F136+Settings!$P$18,"E",IF(Settings!$C$6&gt;=F136+Settings!$P$17,"D",IF(Settings!$C$6&gt;=F136+Settings!$P$16,"C",IF(Settings!$C$6&gt;=F136+Settings!$P$15,"B",IF(Settings!$C$6&gt;=F136+Settings!$P$14,"A","—")))))))</f>
        <v/>
      </c>
      <c r="N136" s="28" t="str">
        <f aca="false">IF(OR(G136="",F136="",J136&lt;=0),"",IF(Settings!$C$6&lt;F136+Settings!$P$14,F136+Settings!$P$14,IF(Settings!$C$6&lt;F136+Settings!$P$15,F136+Settings!$P$15,IF(Settings!$C$6&lt;F136+Settings!$P$16,F136+Settings!$P$16,IF(Settings!$C$6&lt;F136+Settings!$P$17,F136+Settings!$P$17,IF(Settings!$C$6&lt;F136+Settings!$P$18,F136+Settings!$P$18,""))))))</f>
        <v/>
      </c>
      <c r="O136" s="22"/>
      <c r="P136" s="26"/>
      <c r="Q136" s="21" t="str">
        <f aca="false">IF(OR(M136="",M136="Paid",M136="—"),IF(M136="Paid","Paid ✓",""),IF(O136="","Send "&amp;M136&amp;" now",IF(CODE(M136)&gt;CODE(O136),"Send "&amp;M136&amp;" now","Up to date")))</f>
        <v/>
      </c>
      <c r="R136" s="22"/>
      <c r="S136" s="29" t="n">
        <f aca="false">IF(LEFT(Q136,4)="Send",1,0)</f>
        <v>0</v>
      </c>
      <c r="T136" s="29" t="str">
        <f aca="false">IF(S136=0,"",COUNTIFS($S$5:$S$204,1,$F$5:$F$204,"&lt;"&amp;F136)+COUNTIFS($S$5:$S136,1,$F$5:$F136,F136))</f>
        <v/>
      </c>
    </row>
    <row r="137" customFormat="false" ht="15" hidden="false" customHeight="false" outlineLevel="0" collapsed="false">
      <c r="A137" s="22"/>
      <c r="B137" s="22"/>
      <c r="C137" s="22"/>
      <c r="D137" s="26"/>
      <c r="E137" s="22"/>
      <c r="F137" s="28" t="str">
        <f aca="false">IF(D137="","",D137+IF(E137="",Settings!$C$7,E137))</f>
        <v/>
      </c>
      <c r="G137" s="23"/>
      <c r="H137" s="23"/>
      <c r="I137" s="26"/>
      <c r="J137" s="25" t="str">
        <f aca="false">IF(G137="","",G137-N(H137))</f>
        <v/>
      </c>
      <c r="K137" s="21" t="str">
        <f aca="false">IF(OR(G137="",F137=""),"",IF(J137&lt;=0,"Paid",IF(Settings!$C$6&lt;F137,IF(N(H137)&gt;0,"Part-paid","Not due"),IF(Settings!$C$6=F137,"Due today","Overdue"))))</f>
        <v/>
      </c>
      <c r="L137" s="27" t="str">
        <f aca="false">IF(OR(G137="",F137=""),"",IF(J137&lt;=0,"",MAX(0,Settings!$C$6-F137)))</f>
        <v/>
      </c>
      <c r="M137" s="31" t="str">
        <f aca="false">IF(OR(G137="",F137=""),"",IF(J137&lt;=0,"Paid",IF(Settings!$C$6&gt;=F137+Settings!$P$18,"E",IF(Settings!$C$6&gt;=F137+Settings!$P$17,"D",IF(Settings!$C$6&gt;=F137+Settings!$P$16,"C",IF(Settings!$C$6&gt;=F137+Settings!$P$15,"B",IF(Settings!$C$6&gt;=F137+Settings!$P$14,"A","—")))))))</f>
        <v/>
      </c>
      <c r="N137" s="28" t="str">
        <f aca="false">IF(OR(G137="",F137="",J137&lt;=0),"",IF(Settings!$C$6&lt;F137+Settings!$P$14,F137+Settings!$P$14,IF(Settings!$C$6&lt;F137+Settings!$P$15,F137+Settings!$P$15,IF(Settings!$C$6&lt;F137+Settings!$P$16,F137+Settings!$P$16,IF(Settings!$C$6&lt;F137+Settings!$P$17,F137+Settings!$P$17,IF(Settings!$C$6&lt;F137+Settings!$P$18,F137+Settings!$P$18,""))))))</f>
        <v/>
      </c>
      <c r="O137" s="22"/>
      <c r="P137" s="26"/>
      <c r="Q137" s="21" t="str">
        <f aca="false">IF(OR(M137="",M137="Paid",M137="—"),IF(M137="Paid","Paid ✓",""),IF(O137="","Send "&amp;M137&amp;" now",IF(CODE(M137)&gt;CODE(O137),"Send "&amp;M137&amp;" now","Up to date")))</f>
        <v/>
      </c>
      <c r="R137" s="22"/>
      <c r="S137" s="29" t="n">
        <f aca="false">IF(LEFT(Q137,4)="Send",1,0)</f>
        <v>0</v>
      </c>
      <c r="T137" s="29" t="str">
        <f aca="false">IF(S137=0,"",COUNTIFS($S$5:$S$204,1,$F$5:$F$204,"&lt;"&amp;F137)+COUNTIFS($S$5:$S137,1,$F$5:$F137,F137))</f>
        <v/>
      </c>
    </row>
    <row r="138" customFormat="false" ht="15" hidden="false" customHeight="false" outlineLevel="0" collapsed="false">
      <c r="A138" s="22"/>
      <c r="B138" s="22"/>
      <c r="C138" s="22"/>
      <c r="D138" s="26"/>
      <c r="E138" s="22"/>
      <c r="F138" s="28" t="str">
        <f aca="false">IF(D138="","",D138+IF(E138="",Settings!$C$7,E138))</f>
        <v/>
      </c>
      <c r="G138" s="23"/>
      <c r="H138" s="23"/>
      <c r="I138" s="26"/>
      <c r="J138" s="25" t="str">
        <f aca="false">IF(G138="","",G138-N(H138))</f>
        <v/>
      </c>
      <c r="K138" s="21" t="str">
        <f aca="false">IF(OR(G138="",F138=""),"",IF(J138&lt;=0,"Paid",IF(Settings!$C$6&lt;F138,IF(N(H138)&gt;0,"Part-paid","Not due"),IF(Settings!$C$6=F138,"Due today","Overdue"))))</f>
        <v/>
      </c>
      <c r="L138" s="27" t="str">
        <f aca="false">IF(OR(G138="",F138=""),"",IF(J138&lt;=0,"",MAX(0,Settings!$C$6-F138)))</f>
        <v/>
      </c>
      <c r="M138" s="31" t="str">
        <f aca="false">IF(OR(G138="",F138=""),"",IF(J138&lt;=0,"Paid",IF(Settings!$C$6&gt;=F138+Settings!$P$18,"E",IF(Settings!$C$6&gt;=F138+Settings!$P$17,"D",IF(Settings!$C$6&gt;=F138+Settings!$P$16,"C",IF(Settings!$C$6&gt;=F138+Settings!$P$15,"B",IF(Settings!$C$6&gt;=F138+Settings!$P$14,"A","—")))))))</f>
        <v/>
      </c>
      <c r="N138" s="28" t="str">
        <f aca="false">IF(OR(G138="",F138="",J138&lt;=0),"",IF(Settings!$C$6&lt;F138+Settings!$P$14,F138+Settings!$P$14,IF(Settings!$C$6&lt;F138+Settings!$P$15,F138+Settings!$P$15,IF(Settings!$C$6&lt;F138+Settings!$P$16,F138+Settings!$P$16,IF(Settings!$C$6&lt;F138+Settings!$P$17,F138+Settings!$P$17,IF(Settings!$C$6&lt;F138+Settings!$P$18,F138+Settings!$P$18,""))))))</f>
        <v/>
      </c>
      <c r="O138" s="22"/>
      <c r="P138" s="26"/>
      <c r="Q138" s="21" t="str">
        <f aca="false">IF(OR(M138="",M138="Paid",M138="—"),IF(M138="Paid","Paid ✓",""),IF(O138="","Send "&amp;M138&amp;" now",IF(CODE(M138)&gt;CODE(O138),"Send "&amp;M138&amp;" now","Up to date")))</f>
        <v/>
      </c>
      <c r="R138" s="22"/>
      <c r="S138" s="29" t="n">
        <f aca="false">IF(LEFT(Q138,4)="Send",1,0)</f>
        <v>0</v>
      </c>
      <c r="T138" s="29" t="str">
        <f aca="false">IF(S138=0,"",COUNTIFS($S$5:$S$204,1,$F$5:$F$204,"&lt;"&amp;F138)+COUNTIFS($S$5:$S138,1,$F$5:$F138,F138))</f>
        <v/>
      </c>
    </row>
    <row r="139" customFormat="false" ht="15" hidden="false" customHeight="false" outlineLevel="0" collapsed="false">
      <c r="A139" s="22"/>
      <c r="B139" s="22"/>
      <c r="C139" s="22"/>
      <c r="D139" s="26"/>
      <c r="E139" s="22"/>
      <c r="F139" s="28" t="str">
        <f aca="false">IF(D139="","",D139+IF(E139="",Settings!$C$7,E139))</f>
        <v/>
      </c>
      <c r="G139" s="23"/>
      <c r="H139" s="23"/>
      <c r="I139" s="26"/>
      <c r="J139" s="25" t="str">
        <f aca="false">IF(G139="","",G139-N(H139))</f>
        <v/>
      </c>
      <c r="K139" s="21" t="str">
        <f aca="false">IF(OR(G139="",F139=""),"",IF(J139&lt;=0,"Paid",IF(Settings!$C$6&lt;F139,IF(N(H139)&gt;0,"Part-paid","Not due"),IF(Settings!$C$6=F139,"Due today","Overdue"))))</f>
        <v/>
      </c>
      <c r="L139" s="27" t="str">
        <f aca="false">IF(OR(G139="",F139=""),"",IF(J139&lt;=0,"",MAX(0,Settings!$C$6-F139)))</f>
        <v/>
      </c>
      <c r="M139" s="31" t="str">
        <f aca="false">IF(OR(G139="",F139=""),"",IF(J139&lt;=0,"Paid",IF(Settings!$C$6&gt;=F139+Settings!$P$18,"E",IF(Settings!$C$6&gt;=F139+Settings!$P$17,"D",IF(Settings!$C$6&gt;=F139+Settings!$P$16,"C",IF(Settings!$C$6&gt;=F139+Settings!$P$15,"B",IF(Settings!$C$6&gt;=F139+Settings!$P$14,"A","—")))))))</f>
        <v/>
      </c>
      <c r="N139" s="28" t="str">
        <f aca="false">IF(OR(G139="",F139="",J139&lt;=0),"",IF(Settings!$C$6&lt;F139+Settings!$P$14,F139+Settings!$P$14,IF(Settings!$C$6&lt;F139+Settings!$P$15,F139+Settings!$P$15,IF(Settings!$C$6&lt;F139+Settings!$P$16,F139+Settings!$P$16,IF(Settings!$C$6&lt;F139+Settings!$P$17,F139+Settings!$P$17,IF(Settings!$C$6&lt;F139+Settings!$P$18,F139+Settings!$P$18,""))))))</f>
        <v/>
      </c>
      <c r="O139" s="22"/>
      <c r="P139" s="26"/>
      <c r="Q139" s="21" t="str">
        <f aca="false">IF(OR(M139="",M139="Paid",M139="—"),IF(M139="Paid","Paid ✓",""),IF(O139="","Send "&amp;M139&amp;" now",IF(CODE(M139)&gt;CODE(O139),"Send "&amp;M139&amp;" now","Up to date")))</f>
        <v/>
      </c>
      <c r="R139" s="22"/>
      <c r="S139" s="29" t="n">
        <f aca="false">IF(LEFT(Q139,4)="Send",1,0)</f>
        <v>0</v>
      </c>
      <c r="T139" s="29" t="str">
        <f aca="false">IF(S139=0,"",COUNTIFS($S$5:$S$204,1,$F$5:$F$204,"&lt;"&amp;F139)+COUNTIFS($S$5:$S139,1,$F$5:$F139,F139))</f>
        <v/>
      </c>
    </row>
    <row r="140" customFormat="false" ht="15" hidden="false" customHeight="false" outlineLevel="0" collapsed="false">
      <c r="A140" s="22"/>
      <c r="B140" s="22"/>
      <c r="C140" s="22"/>
      <c r="D140" s="26"/>
      <c r="E140" s="22"/>
      <c r="F140" s="28" t="str">
        <f aca="false">IF(D140="","",D140+IF(E140="",Settings!$C$7,E140))</f>
        <v/>
      </c>
      <c r="G140" s="23"/>
      <c r="H140" s="23"/>
      <c r="I140" s="26"/>
      <c r="J140" s="25" t="str">
        <f aca="false">IF(G140="","",G140-N(H140))</f>
        <v/>
      </c>
      <c r="K140" s="21" t="str">
        <f aca="false">IF(OR(G140="",F140=""),"",IF(J140&lt;=0,"Paid",IF(Settings!$C$6&lt;F140,IF(N(H140)&gt;0,"Part-paid","Not due"),IF(Settings!$C$6=F140,"Due today","Overdue"))))</f>
        <v/>
      </c>
      <c r="L140" s="27" t="str">
        <f aca="false">IF(OR(G140="",F140=""),"",IF(J140&lt;=0,"",MAX(0,Settings!$C$6-F140)))</f>
        <v/>
      </c>
      <c r="M140" s="31" t="str">
        <f aca="false">IF(OR(G140="",F140=""),"",IF(J140&lt;=0,"Paid",IF(Settings!$C$6&gt;=F140+Settings!$P$18,"E",IF(Settings!$C$6&gt;=F140+Settings!$P$17,"D",IF(Settings!$C$6&gt;=F140+Settings!$P$16,"C",IF(Settings!$C$6&gt;=F140+Settings!$P$15,"B",IF(Settings!$C$6&gt;=F140+Settings!$P$14,"A","—")))))))</f>
        <v/>
      </c>
      <c r="N140" s="28" t="str">
        <f aca="false">IF(OR(G140="",F140="",J140&lt;=0),"",IF(Settings!$C$6&lt;F140+Settings!$P$14,F140+Settings!$P$14,IF(Settings!$C$6&lt;F140+Settings!$P$15,F140+Settings!$P$15,IF(Settings!$C$6&lt;F140+Settings!$P$16,F140+Settings!$P$16,IF(Settings!$C$6&lt;F140+Settings!$P$17,F140+Settings!$P$17,IF(Settings!$C$6&lt;F140+Settings!$P$18,F140+Settings!$P$18,""))))))</f>
        <v/>
      </c>
      <c r="O140" s="22"/>
      <c r="P140" s="26"/>
      <c r="Q140" s="21" t="str">
        <f aca="false">IF(OR(M140="",M140="Paid",M140="—"),IF(M140="Paid","Paid ✓",""),IF(O140="","Send "&amp;M140&amp;" now",IF(CODE(M140)&gt;CODE(O140),"Send "&amp;M140&amp;" now","Up to date")))</f>
        <v/>
      </c>
      <c r="R140" s="22"/>
      <c r="S140" s="29" t="n">
        <f aca="false">IF(LEFT(Q140,4)="Send",1,0)</f>
        <v>0</v>
      </c>
      <c r="T140" s="29" t="str">
        <f aca="false">IF(S140=0,"",COUNTIFS($S$5:$S$204,1,$F$5:$F$204,"&lt;"&amp;F140)+COUNTIFS($S$5:$S140,1,$F$5:$F140,F140))</f>
        <v/>
      </c>
    </row>
    <row r="141" customFormat="false" ht="15" hidden="false" customHeight="false" outlineLevel="0" collapsed="false">
      <c r="A141" s="22"/>
      <c r="B141" s="22"/>
      <c r="C141" s="22"/>
      <c r="D141" s="26"/>
      <c r="E141" s="22"/>
      <c r="F141" s="28" t="str">
        <f aca="false">IF(D141="","",D141+IF(E141="",Settings!$C$7,E141))</f>
        <v/>
      </c>
      <c r="G141" s="23"/>
      <c r="H141" s="23"/>
      <c r="I141" s="26"/>
      <c r="J141" s="25" t="str">
        <f aca="false">IF(G141="","",G141-N(H141))</f>
        <v/>
      </c>
      <c r="K141" s="21" t="str">
        <f aca="false">IF(OR(G141="",F141=""),"",IF(J141&lt;=0,"Paid",IF(Settings!$C$6&lt;F141,IF(N(H141)&gt;0,"Part-paid","Not due"),IF(Settings!$C$6=F141,"Due today","Overdue"))))</f>
        <v/>
      </c>
      <c r="L141" s="27" t="str">
        <f aca="false">IF(OR(G141="",F141=""),"",IF(J141&lt;=0,"",MAX(0,Settings!$C$6-F141)))</f>
        <v/>
      </c>
      <c r="M141" s="31" t="str">
        <f aca="false">IF(OR(G141="",F141=""),"",IF(J141&lt;=0,"Paid",IF(Settings!$C$6&gt;=F141+Settings!$P$18,"E",IF(Settings!$C$6&gt;=F141+Settings!$P$17,"D",IF(Settings!$C$6&gt;=F141+Settings!$P$16,"C",IF(Settings!$C$6&gt;=F141+Settings!$P$15,"B",IF(Settings!$C$6&gt;=F141+Settings!$P$14,"A","—")))))))</f>
        <v/>
      </c>
      <c r="N141" s="28" t="str">
        <f aca="false">IF(OR(G141="",F141="",J141&lt;=0),"",IF(Settings!$C$6&lt;F141+Settings!$P$14,F141+Settings!$P$14,IF(Settings!$C$6&lt;F141+Settings!$P$15,F141+Settings!$P$15,IF(Settings!$C$6&lt;F141+Settings!$P$16,F141+Settings!$P$16,IF(Settings!$C$6&lt;F141+Settings!$P$17,F141+Settings!$P$17,IF(Settings!$C$6&lt;F141+Settings!$P$18,F141+Settings!$P$18,""))))))</f>
        <v/>
      </c>
      <c r="O141" s="22"/>
      <c r="P141" s="26"/>
      <c r="Q141" s="21" t="str">
        <f aca="false">IF(OR(M141="",M141="Paid",M141="—"),IF(M141="Paid","Paid ✓",""),IF(O141="","Send "&amp;M141&amp;" now",IF(CODE(M141)&gt;CODE(O141),"Send "&amp;M141&amp;" now","Up to date")))</f>
        <v/>
      </c>
      <c r="R141" s="22"/>
      <c r="S141" s="29" t="n">
        <f aca="false">IF(LEFT(Q141,4)="Send",1,0)</f>
        <v>0</v>
      </c>
      <c r="T141" s="29" t="str">
        <f aca="false">IF(S141=0,"",COUNTIFS($S$5:$S$204,1,$F$5:$F$204,"&lt;"&amp;F141)+COUNTIFS($S$5:$S141,1,$F$5:$F141,F141))</f>
        <v/>
      </c>
    </row>
    <row r="142" customFormat="false" ht="15" hidden="false" customHeight="false" outlineLevel="0" collapsed="false">
      <c r="A142" s="22"/>
      <c r="B142" s="22"/>
      <c r="C142" s="22"/>
      <c r="D142" s="26"/>
      <c r="E142" s="22"/>
      <c r="F142" s="28" t="str">
        <f aca="false">IF(D142="","",D142+IF(E142="",Settings!$C$7,E142))</f>
        <v/>
      </c>
      <c r="G142" s="23"/>
      <c r="H142" s="23"/>
      <c r="I142" s="26"/>
      <c r="J142" s="25" t="str">
        <f aca="false">IF(G142="","",G142-N(H142))</f>
        <v/>
      </c>
      <c r="K142" s="21" t="str">
        <f aca="false">IF(OR(G142="",F142=""),"",IF(J142&lt;=0,"Paid",IF(Settings!$C$6&lt;F142,IF(N(H142)&gt;0,"Part-paid","Not due"),IF(Settings!$C$6=F142,"Due today","Overdue"))))</f>
        <v/>
      </c>
      <c r="L142" s="27" t="str">
        <f aca="false">IF(OR(G142="",F142=""),"",IF(J142&lt;=0,"",MAX(0,Settings!$C$6-F142)))</f>
        <v/>
      </c>
      <c r="M142" s="31" t="str">
        <f aca="false">IF(OR(G142="",F142=""),"",IF(J142&lt;=0,"Paid",IF(Settings!$C$6&gt;=F142+Settings!$P$18,"E",IF(Settings!$C$6&gt;=F142+Settings!$P$17,"D",IF(Settings!$C$6&gt;=F142+Settings!$P$16,"C",IF(Settings!$C$6&gt;=F142+Settings!$P$15,"B",IF(Settings!$C$6&gt;=F142+Settings!$P$14,"A","—")))))))</f>
        <v/>
      </c>
      <c r="N142" s="28" t="str">
        <f aca="false">IF(OR(G142="",F142="",J142&lt;=0),"",IF(Settings!$C$6&lt;F142+Settings!$P$14,F142+Settings!$P$14,IF(Settings!$C$6&lt;F142+Settings!$P$15,F142+Settings!$P$15,IF(Settings!$C$6&lt;F142+Settings!$P$16,F142+Settings!$P$16,IF(Settings!$C$6&lt;F142+Settings!$P$17,F142+Settings!$P$17,IF(Settings!$C$6&lt;F142+Settings!$P$18,F142+Settings!$P$18,""))))))</f>
        <v/>
      </c>
      <c r="O142" s="22"/>
      <c r="P142" s="26"/>
      <c r="Q142" s="21" t="str">
        <f aca="false">IF(OR(M142="",M142="Paid",M142="—"),IF(M142="Paid","Paid ✓",""),IF(O142="","Send "&amp;M142&amp;" now",IF(CODE(M142)&gt;CODE(O142),"Send "&amp;M142&amp;" now","Up to date")))</f>
        <v/>
      </c>
      <c r="R142" s="22"/>
      <c r="S142" s="29" t="n">
        <f aca="false">IF(LEFT(Q142,4)="Send",1,0)</f>
        <v>0</v>
      </c>
      <c r="T142" s="29" t="str">
        <f aca="false">IF(S142=0,"",COUNTIFS($S$5:$S$204,1,$F$5:$F$204,"&lt;"&amp;F142)+COUNTIFS($S$5:$S142,1,$F$5:$F142,F142))</f>
        <v/>
      </c>
    </row>
    <row r="143" customFormat="false" ht="15" hidden="false" customHeight="false" outlineLevel="0" collapsed="false">
      <c r="A143" s="22"/>
      <c r="B143" s="22"/>
      <c r="C143" s="22"/>
      <c r="D143" s="26"/>
      <c r="E143" s="22"/>
      <c r="F143" s="28" t="str">
        <f aca="false">IF(D143="","",D143+IF(E143="",Settings!$C$7,E143))</f>
        <v/>
      </c>
      <c r="G143" s="23"/>
      <c r="H143" s="23"/>
      <c r="I143" s="26"/>
      <c r="J143" s="25" t="str">
        <f aca="false">IF(G143="","",G143-N(H143))</f>
        <v/>
      </c>
      <c r="K143" s="21" t="str">
        <f aca="false">IF(OR(G143="",F143=""),"",IF(J143&lt;=0,"Paid",IF(Settings!$C$6&lt;F143,IF(N(H143)&gt;0,"Part-paid","Not due"),IF(Settings!$C$6=F143,"Due today","Overdue"))))</f>
        <v/>
      </c>
      <c r="L143" s="27" t="str">
        <f aca="false">IF(OR(G143="",F143=""),"",IF(J143&lt;=0,"",MAX(0,Settings!$C$6-F143)))</f>
        <v/>
      </c>
      <c r="M143" s="31" t="str">
        <f aca="false">IF(OR(G143="",F143=""),"",IF(J143&lt;=0,"Paid",IF(Settings!$C$6&gt;=F143+Settings!$P$18,"E",IF(Settings!$C$6&gt;=F143+Settings!$P$17,"D",IF(Settings!$C$6&gt;=F143+Settings!$P$16,"C",IF(Settings!$C$6&gt;=F143+Settings!$P$15,"B",IF(Settings!$C$6&gt;=F143+Settings!$P$14,"A","—")))))))</f>
        <v/>
      </c>
      <c r="N143" s="28" t="str">
        <f aca="false">IF(OR(G143="",F143="",J143&lt;=0),"",IF(Settings!$C$6&lt;F143+Settings!$P$14,F143+Settings!$P$14,IF(Settings!$C$6&lt;F143+Settings!$P$15,F143+Settings!$P$15,IF(Settings!$C$6&lt;F143+Settings!$P$16,F143+Settings!$P$16,IF(Settings!$C$6&lt;F143+Settings!$P$17,F143+Settings!$P$17,IF(Settings!$C$6&lt;F143+Settings!$P$18,F143+Settings!$P$18,""))))))</f>
        <v/>
      </c>
      <c r="O143" s="22"/>
      <c r="P143" s="26"/>
      <c r="Q143" s="21" t="str">
        <f aca="false">IF(OR(M143="",M143="Paid",M143="—"),IF(M143="Paid","Paid ✓",""),IF(O143="","Send "&amp;M143&amp;" now",IF(CODE(M143)&gt;CODE(O143),"Send "&amp;M143&amp;" now","Up to date")))</f>
        <v/>
      </c>
      <c r="R143" s="22"/>
      <c r="S143" s="29" t="n">
        <f aca="false">IF(LEFT(Q143,4)="Send",1,0)</f>
        <v>0</v>
      </c>
      <c r="T143" s="29" t="str">
        <f aca="false">IF(S143=0,"",COUNTIFS($S$5:$S$204,1,$F$5:$F$204,"&lt;"&amp;F143)+COUNTIFS($S$5:$S143,1,$F$5:$F143,F143))</f>
        <v/>
      </c>
    </row>
    <row r="144" customFormat="false" ht="15" hidden="false" customHeight="false" outlineLevel="0" collapsed="false">
      <c r="A144" s="22"/>
      <c r="B144" s="22"/>
      <c r="C144" s="22"/>
      <c r="D144" s="26"/>
      <c r="E144" s="22"/>
      <c r="F144" s="28" t="str">
        <f aca="false">IF(D144="","",D144+IF(E144="",Settings!$C$7,E144))</f>
        <v/>
      </c>
      <c r="G144" s="23"/>
      <c r="H144" s="23"/>
      <c r="I144" s="26"/>
      <c r="J144" s="25" t="str">
        <f aca="false">IF(G144="","",G144-N(H144))</f>
        <v/>
      </c>
      <c r="K144" s="21" t="str">
        <f aca="false">IF(OR(G144="",F144=""),"",IF(J144&lt;=0,"Paid",IF(Settings!$C$6&lt;F144,IF(N(H144)&gt;0,"Part-paid","Not due"),IF(Settings!$C$6=F144,"Due today","Overdue"))))</f>
        <v/>
      </c>
      <c r="L144" s="27" t="str">
        <f aca="false">IF(OR(G144="",F144=""),"",IF(J144&lt;=0,"",MAX(0,Settings!$C$6-F144)))</f>
        <v/>
      </c>
      <c r="M144" s="31" t="str">
        <f aca="false">IF(OR(G144="",F144=""),"",IF(J144&lt;=0,"Paid",IF(Settings!$C$6&gt;=F144+Settings!$P$18,"E",IF(Settings!$C$6&gt;=F144+Settings!$P$17,"D",IF(Settings!$C$6&gt;=F144+Settings!$P$16,"C",IF(Settings!$C$6&gt;=F144+Settings!$P$15,"B",IF(Settings!$C$6&gt;=F144+Settings!$P$14,"A","—")))))))</f>
        <v/>
      </c>
      <c r="N144" s="28" t="str">
        <f aca="false">IF(OR(G144="",F144="",J144&lt;=0),"",IF(Settings!$C$6&lt;F144+Settings!$P$14,F144+Settings!$P$14,IF(Settings!$C$6&lt;F144+Settings!$P$15,F144+Settings!$P$15,IF(Settings!$C$6&lt;F144+Settings!$P$16,F144+Settings!$P$16,IF(Settings!$C$6&lt;F144+Settings!$P$17,F144+Settings!$P$17,IF(Settings!$C$6&lt;F144+Settings!$P$18,F144+Settings!$P$18,""))))))</f>
        <v/>
      </c>
      <c r="O144" s="22"/>
      <c r="P144" s="26"/>
      <c r="Q144" s="21" t="str">
        <f aca="false">IF(OR(M144="",M144="Paid",M144="—"),IF(M144="Paid","Paid ✓",""),IF(O144="","Send "&amp;M144&amp;" now",IF(CODE(M144)&gt;CODE(O144),"Send "&amp;M144&amp;" now","Up to date")))</f>
        <v/>
      </c>
      <c r="R144" s="22"/>
      <c r="S144" s="29" t="n">
        <f aca="false">IF(LEFT(Q144,4)="Send",1,0)</f>
        <v>0</v>
      </c>
      <c r="T144" s="29" t="str">
        <f aca="false">IF(S144=0,"",COUNTIFS($S$5:$S$204,1,$F$5:$F$204,"&lt;"&amp;F144)+COUNTIFS($S$5:$S144,1,$F$5:$F144,F144))</f>
        <v/>
      </c>
    </row>
    <row r="145" customFormat="false" ht="15" hidden="false" customHeight="false" outlineLevel="0" collapsed="false">
      <c r="A145" s="22"/>
      <c r="B145" s="22"/>
      <c r="C145" s="22"/>
      <c r="D145" s="26"/>
      <c r="E145" s="22"/>
      <c r="F145" s="28" t="str">
        <f aca="false">IF(D145="","",D145+IF(E145="",Settings!$C$7,E145))</f>
        <v/>
      </c>
      <c r="G145" s="23"/>
      <c r="H145" s="23"/>
      <c r="I145" s="26"/>
      <c r="J145" s="25" t="str">
        <f aca="false">IF(G145="","",G145-N(H145))</f>
        <v/>
      </c>
      <c r="K145" s="21" t="str">
        <f aca="false">IF(OR(G145="",F145=""),"",IF(J145&lt;=0,"Paid",IF(Settings!$C$6&lt;F145,IF(N(H145)&gt;0,"Part-paid","Not due"),IF(Settings!$C$6=F145,"Due today","Overdue"))))</f>
        <v/>
      </c>
      <c r="L145" s="27" t="str">
        <f aca="false">IF(OR(G145="",F145=""),"",IF(J145&lt;=0,"",MAX(0,Settings!$C$6-F145)))</f>
        <v/>
      </c>
      <c r="M145" s="31" t="str">
        <f aca="false">IF(OR(G145="",F145=""),"",IF(J145&lt;=0,"Paid",IF(Settings!$C$6&gt;=F145+Settings!$P$18,"E",IF(Settings!$C$6&gt;=F145+Settings!$P$17,"D",IF(Settings!$C$6&gt;=F145+Settings!$P$16,"C",IF(Settings!$C$6&gt;=F145+Settings!$P$15,"B",IF(Settings!$C$6&gt;=F145+Settings!$P$14,"A","—")))))))</f>
        <v/>
      </c>
      <c r="N145" s="28" t="str">
        <f aca="false">IF(OR(G145="",F145="",J145&lt;=0),"",IF(Settings!$C$6&lt;F145+Settings!$P$14,F145+Settings!$P$14,IF(Settings!$C$6&lt;F145+Settings!$P$15,F145+Settings!$P$15,IF(Settings!$C$6&lt;F145+Settings!$P$16,F145+Settings!$P$16,IF(Settings!$C$6&lt;F145+Settings!$P$17,F145+Settings!$P$17,IF(Settings!$C$6&lt;F145+Settings!$P$18,F145+Settings!$P$18,""))))))</f>
        <v/>
      </c>
      <c r="O145" s="22"/>
      <c r="P145" s="26"/>
      <c r="Q145" s="21" t="str">
        <f aca="false">IF(OR(M145="",M145="Paid",M145="—"),IF(M145="Paid","Paid ✓",""),IF(O145="","Send "&amp;M145&amp;" now",IF(CODE(M145)&gt;CODE(O145),"Send "&amp;M145&amp;" now","Up to date")))</f>
        <v/>
      </c>
      <c r="R145" s="22"/>
      <c r="S145" s="29" t="n">
        <f aca="false">IF(LEFT(Q145,4)="Send",1,0)</f>
        <v>0</v>
      </c>
      <c r="T145" s="29" t="str">
        <f aca="false">IF(S145=0,"",COUNTIFS($S$5:$S$204,1,$F$5:$F$204,"&lt;"&amp;F145)+COUNTIFS($S$5:$S145,1,$F$5:$F145,F145))</f>
        <v/>
      </c>
    </row>
    <row r="146" customFormat="false" ht="15" hidden="false" customHeight="false" outlineLevel="0" collapsed="false">
      <c r="A146" s="22"/>
      <c r="B146" s="22"/>
      <c r="C146" s="22"/>
      <c r="D146" s="26"/>
      <c r="E146" s="22"/>
      <c r="F146" s="28" t="str">
        <f aca="false">IF(D146="","",D146+IF(E146="",Settings!$C$7,E146))</f>
        <v/>
      </c>
      <c r="G146" s="23"/>
      <c r="H146" s="23"/>
      <c r="I146" s="26"/>
      <c r="J146" s="25" t="str">
        <f aca="false">IF(G146="","",G146-N(H146))</f>
        <v/>
      </c>
      <c r="K146" s="21" t="str">
        <f aca="false">IF(OR(G146="",F146=""),"",IF(J146&lt;=0,"Paid",IF(Settings!$C$6&lt;F146,IF(N(H146)&gt;0,"Part-paid","Not due"),IF(Settings!$C$6=F146,"Due today","Overdue"))))</f>
        <v/>
      </c>
      <c r="L146" s="27" t="str">
        <f aca="false">IF(OR(G146="",F146=""),"",IF(J146&lt;=0,"",MAX(0,Settings!$C$6-F146)))</f>
        <v/>
      </c>
      <c r="M146" s="31" t="str">
        <f aca="false">IF(OR(G146="",F146=""),"",IF(J146&lt;=0,"Paid",IF(Settings!$C$6&gt;=F146+Settings!$P$18,"E",IF(Settings!$C$6&gt;=F146+Settings!$P$17,"D",IF(Settings!$C$6&gt;=F146+Settings!$P$16,"C",IF(Settings!$C$6&gt;=F146+Settings!$P$15,"B",IF(Settings!$C$6&gt;=F146+Settings!$P$14,"A","—")))))))</f>
        <v/>
      </c>
      <c r="N146" s="28" t="str">
        <f aca="false">IF(OR(G146="",F146="",J146&lt;=0),"",IF(Settings!$C$6&lt;F146+Settings!$P$14,F146+Settings!$P$14,IF(Settings!$C$6&lt;F146+Settings!$P$15,F146+Settings!$P$15,IF(Settings!$C$6&lt;F146+Settings!$P$16,F146+Settings!$P$16,IF(Settings!$C$6&lt;F146+Settings!$P$17,F146+Settings!$P$17,IF(Settings!$C$6&lt;F146+Settings!$P$18,F146+Settings!$P$18,""))))))</f>
        <v/>
      </c>
      <c r="O146" s="22"/>
      <c r="P146" s="26"/>
      <c r="Q146" s="21" t="str">
        <f aca="false">IF(OR(M146="",M146="Paid",M146="—"),IF(M146="Paid","Paid ✓",""),IF(O146="","Send "&amp;M146&amp;" now",IF(CODE(M146)&gt;CODE(O146),"Send "&amp;M146&amp;" now","Up to date")))</f>
        <v/>
      </c>
      <c r="R146" s="22"/>
      <c r="S146" s="29" t="n">
        <f aca="false">IF(LEFT(Q146,4)="Send",1,0)</f>
        <v>0</v>
      </c>
      <c r="T146" s="29" t="str">
        <f aca="false">IF(S146=0,"",COUNTIFS($S$5:$S$204,1,$F$5:$F$204,"&lt;"&amp;F146)+COUNTIFS($S$5:$S146,1,$F$5:$F146,F146))</f>
        <v/>
      </c>
    </row>
    <row r="147" customFormat="false" ht="15" hidden="false" customHeight="false" outlineLevel="0" collapsed="false">
      <c r="A147" s="22"/>
      <c r="B147" s="22"/>
      <c r="C147" s="22"/>
      <c r="D147" s="26"/>
      <c r="E147" s="22"/>
      <c r="F147" s="28" t="str">
        <f aca="false">IF(D147="","",D147+IF(E147="",Settings!$C$7,E147))</f>
        <v/>
      </c>
      <c r="G147" s="23"/>
      <c r="H147" s="23"/>
      <c r="I147" s="26"/>
      <c r="J147" s="25" t="str">
        <f aca="false">IF(G147="","",G147-N(H147))</f>
        <v/>
      </c>
      <c r="K147" s="21" t="str">
        <f aca="false">IF(OR(G147="",F147=""),"",IF(J147&lt;=0,"Paid",IF(Settings!$C$6&lt;F147,IF(N(H147)&gt;0,"Part-paid","Not due"),IF(Settings!$C$6=F147,"Due today","Overdue"))))</f>
        <v/>
      </c>
      <c r="L147" s="27" t="str">
        <f aca="false">IF(OR(G147="",F147=""),"",IF(J147&lt;=0,"",MAX(0,Settings!$C$6-F147)))</f>
        <v/>
      </c>
      <c r="M147" s="31" t="str">
        <f aca="false">IF(OR(G147="",F147=""),"",IF(J147&lt;=0,"Paid",IF(Settings!$C$6&gt;=F147+Settings!$P$18,"E",IF(Settings!$C$6&gt;=F147+Settings!$P$17,"D",IF(Settings!$C$6&gt;=F147+Settings!$P$16,"C",IF(Settings!$C$6&gt;=F147+Settings!$P$15,"B",IF(Settings!$C$6&gt;=F147+Settings!$P$14,"A","—")))))))</f>
        <v/>
      </c>
      <c r="N147" s="28" t="str">
        <f aca="false">IF(OR(G147="",F147="",J147&lt;=0),"",IF(Settings!$C$6&lt;F147+Settings!$P$14,F147+Settings!$P$14,IF(Settings!$C$6&lt;F147+Settings!$P$15,F147+Settings!$P$15,IF(Settings!$C$6&lt;F147+Settings!$P$16,F147+Settings!$P$16,IF(Settings!$C$6&lt;F147+Settings!$P$17,F147+Settings!$P$17,IF(Settings!$C$6&lt;F147+Settings!$P$18,F147+Settings!$P$18,""))))))</f>
        <v/>
      </c>
      <c r="O147" s="22"/>
      <c r="P147" s="26"/>
      <c r="Q147" s="21" t="str">
        <f aca="false">IF(OR(M147="",M147="Paid",M147="—"),IF(M147="Paid","Paid ✓",""),IF(O147="","Send "&amp;M147&amp;" now",IF(CODE(M147)&gt;CODE(O147),"Send "&amp;M147&amp;" now","Up to date")))</f>
        <v/>
      </c>
      <c r="R147" s="22"/>
      <c r="S147" s="29" t="n">
        <f aca="false">IF(LEFT(Q147,4)="Send",1,0)</f>
        <v>0</v>
      </c>
      <c r="T147" s="29" t="str">
        <f aca="false">IF(S147=0,"",COUNTIFS($S$5:$S$204,1,$F$5:$F$204,"&lt;"&amp;F147)+COUNTIFS($S$5:$S147,1,$F$5:$F147,F147))</f>
        <v/>
      </c>
    </row>
    <row r="148" customFormat="false" ht="15" hidden="false" customHeight="false" outlineLevel="0" collapsed="false">
      <c r="A148" s="22"/>
      <c r="B148" s="22"/>
      <c r="C148" s="22"/>
      <c r="D148" s="26"/>
      <c r="E148" s="22"/>
      <c r="F148" s="28" t="str">
        <f aca="false">IF(D148="","",D148+IF(E148="",Settings!$C$7,E148))</f>
        <v/>
      </c>
      <c r="G148" s="23"/>
      <c r="H148" s="23"/>
      <c r="I148" s="26"/>
      <c r="J148" s="25" t="str">
        <f aca="false">IF(G148="","",G148-N(H148))</f>
        <v/>
      </c>
      <c r="K148" s="21" t="str">
        <f aca="false">IF(OR(G148="",F148=""),"",IF(J148&lt;=0,"Paid",IF(Settings!$C$6&lt;F148,IF(N(H148)&gt;0,"Part-paid","Not due"),IF(Settings!$C$6=F148,"Due today","Overdue"))))</f>
        <v/>
      </c>
      <c r="L148" s="27" t="str">
        <f aca="false">IF(OR(G148="",F148=""),"",IF(J148&lt;=0,"",MAX(0,Settings!$C$6-F148)))</f>
        <v/>
      </c>
      <c r="M148" s="31" t="str">
        <f aca="false">IF(OR(G148="",F148=""),"",IF(J148&lt;=0,"Paid",IF(Settings!$C$6&gt;=F148+Settings!$P$18,"E",IF(Settings!$C$6&gt;=F148+Settings!$P$17,"D",IF(Settings!$C$6&gt;=F148+Settings!$P$16,"C",IF(Settings!$C$6&gt;=F148+Settings!$P$15,"B",IF(Settings!$C$6&gt;=F148+Settings!$P$14,"A","—")))))))</f>
        <v/>
      </c>
      <c r="N148" s="28" t="str">
        <f aca="false">IF(OR(G148="",F148="",J148&lt;=0),"",IF(Settings!$C$6&lt;F148+Settings!$P$14,F148+Settings!$P$14,IF(Settings!$C$6&lt;F148+Settings!$P$15,F148+Settings!$P$15,IF(Settings!$C$6&lt;F148+Settings!$P$16,F148+Settings!$P$16,IF(Settings!$C$6&lt;F148+Settings!$P$17,F148+Settings!$P$17,IF(Settings!$C$6&lt;F148+Settings!$P$18,F148+Settings!$P$18,""))))))</f>
        <v/>
      </c>
      <c r="O148" s="22"/>
      <c r="P148" s="26"/>
      <c r="Q148" s="21" t="str">
        <f aca="false">IF(OR(M148="",M148="Paid",M148="—"),IF(M148="Paid","Paid ✓",""),IF(O148="","Send "&amp;M148&amp;" now",IF(CODE(M148)&gt;CODE(O148),"Send "&amp;M148&amp;" now","Up to date")))</f>
        <v/>
      </c>
      <c r="R148" s="22"/>
      <c r="S148" s="29" t="n">
        <f aca="false">IF(LEFT(Q148,4)="Send",1,0)</f>
        <v>0</v>
      </c>
      <c r="T148" s="29" t="str">
        <f aca="false">IF(S148=0,"",COUNTIFS($S$5:$S$204,1,$F$5:$F$204,"&lt;"&amp;F148)+COUNTIFS($S$5:$S148,1,$F$5:$F148,F148))</f>
        <v/>
      </c>
    </row>
    <row r="149" customFormat="false" ht="15" hidden="false" customHeight="false" outlineLevel="0" collapsed="false">
      <c r="A149" s="22"/>
      <c r="B149" s="22"/>
      <c r="C149" s="22"/>
      <c r="D149" s="26"/>
      <c r="E149" s="22"/>
      <c r="F149" s="28" t="str">
        <f aca="false">IF(D149="","",D149+IF(E149="",Settings!$C$7,E149))</f>
        <v/>
      </c>
      <c r="G149" s="23"/>
      <c r="H149" s="23"/>
      <c r="I149" s="26"/>
      <c r="J149" s="25" t="str">
        <f aca="false">IF(G149="","",G149-N(H149))</f>
        <v/>
      </c>
      <c r="K149" s="21" t="str">
        <f aca="false">IF(OR(G149="",F149=""),"",IF(J149&lt;=0,"Paid",IF(Settings!$C$6&lt;F149,IF(N(H149)&gt;0,"Part-paid","Not due"),IF(Settings!$C$6=F149,"Due today","Overdue"))))</f>
        <v/>
      </c>
      <c r="L149" s="27" t="str">
        <f aca="false">IF(OR(G149="",F149=""),"",IF(J149&lt;=0,"",MAX(0,Settings!$C$6-F149)))</f>
        <v/>
      </c>
      <c r="M149" s="31" t="str">
        <f aca="false">IF(OR(G149="",F149=""),"",IF(J149&lt;=0,"Paid",IF(Settings!$C$6&gt;=F149+Settings!$P$18,"E",IF(Settings!$C$6&gt;=F149+Settings!$P$17,"D",IF(Settings!$C$6&gt;=F149+Settings!$P$16,"C",IF(Settings!$C$6&gt;=F149+Settings!$P$15,"B",IF(Settings!$C$6&gt;=F149+Settings!$P$14,"A","—")))))))</f>
        <v/>
      </c>
      <c r="N149" s="28" t="str">
        <f aca="false">IF(OR(G149="",F149="",J149&lt;=0),"",IF(Settings!$C$6&lt;F149+Settings!$P$14,F149+Settings!$P$14,IF(Settings!$C$6&lt;F149+Settings!$P$15,F149+Settings!$P$15,IF(Settings!$C$6&lt;F149+Settings!$P$16,F149+Settings!$P$16,IF(Settings!$C$6&lt;F149+Settings!$P$17,F149+Settings!$P$17,IF(Settings!$C$6&lt;F149+Settings!$P$18,F149+Settings!$P$18,""))))))</f>
        <v/>
      </c>
      <c r="O149" s="22"/>
      <c r="P149" s="26"/>
      <c r="Q149" s="21" t="str">
        <f aca="false">IF(OR(M149="",M149="Paid",M149="—"),IF(M149="Paid","Paid ✓",""),IF(O149="","Send "&amp;M149&amp;" now",IF(CODE(M149)&gt;CODE(O149),"Send "&amp;M149&amp;" now","Up to date")))</f>
        <v/>
      </c>
      <c r="R149" s="22"/>
      <c r="S149" s="29" t="n">
        <f aca="false">IF(LEFT(Q149,4)="Send",1,0)</f>
        <v>0</v>
      </c>
      <c r="T149" s="29" t="str">
        <f aca="false">IF(S149=0,"",COUNTIFS($S$5:$S$204,1,$F$5:$F$204,"&lt;"&amp;F149)+COUNTIFS($S$5:$S149,1,$F$5:$F149,F149))</f>
        <v/>
      </c>
    </row>
    <row r="150" customFormat="false" ht="15" hidden="false" customHeight="false" outlineLevel="0" collapsed="false">
      <c r="A150" s="22"/>
      <c r="B150" s="22"/>
      <c r="C150" s="22"/>
      <c r="D150" s="26"/>
      <c r="E150" s="22"/>
      <c r="F150" s="28" t="str">
        <f aca="false">IF(D150="","",D150+IF(E150="",Settings!$C$7,E150))</f>
        <v/>
      </c>
      <c r="G150" s="23"/>
      <c r="H150" s="23"/>
      <c r="I150" s="26"/>
      <c r="J150" s="25" t="str">
        <f aca="false">IF(G150="","",G150-N(H150))</f>
        <v/>
      </c>
      <c r="K150" s="21" t="str">
        <f aca="false">IF(OR(G150="",F150=""),"",IF(J150&lt;=0,"Paid",IF(Settings!$C$6&lt;F150,IF(N(H150)&gt;0,"Part-paid","Not due"),IF(Settings!$C$6=F150,"Due today","Overdue"))))</f>
        <v/>
      </c>
      <c r="L150" s="27" t="str">
        <f aca="false">IF(OR(G150="",F150=""),"",IF(J150&lt;=0,"",MAX(0,Settings!$C$6-F150)))</f>
        <v/>
      </c>
      <c r="M150" s="31" t="str">
        <f aca="false">IF(OR(G150="",F150=""),"",IF(J150&lt;=0,"Paid",IF(Settings!$C$6&gt;=F150+Settings!$P$18,"E",IF(Settings!$C$6&gt;=F150+Settings!$P$17,"D",IF(Settings!$C$6&gt;=F150+Settings!$P$16,"C",IF(Settings!$C$6&gt;=F150+Settings!$P$15,"B",IF(Settings!$C$6&gt;=F150+Settings!$P$14,"A","—")))))))</f>
        <v/>
      </c>
      <c r="N150" s="28" t="str">
        <f aca="false">IF(OR(G150="",F150="",J150&lt;=0),"",IF(Settings!$C$6&lt;F150+Settings!$P$14,F150+Settings!$P$14,IF(Settings!$C$6&lt;F150+Settings!$P$15,F150+Settings!$P$15,IF(Settings!$C$6&lt;F150+Settings!$P$16,F150+Settings!$P$16,IF(Settings!$C$6&lt;F150+Settings!$P$17,F150+Settings!$P$17,IF(Settings!$C$6&lt;F150+Settings!$P$18,F150+Settings!$P$18,""))))))</f>
        <v/>
      </c>
      <c r="O150" s="22"/>
      <c r="P150" s="26"/>
      <c r="Q150" s="21" t="str">
        <f aca="false">IF(OR(M150="",M150="Paid",M150="—"),IF(M150="Paid","Paid ✓",""),IF(O150="","Send "&amp;M150&amp;" now",IF(CODE(M150)&gt;CODE(O150),"Send "&amp;M150&amp;" now","Up to date")))</f>
        <v/>
      </c>
      <c r="R150" s="22"/>
      <c r="S150" s="29" t="n">
        <f aca="false">IF(LEFT(Q150,4)="Send",1,0)</f>
        <v>0</v>
      </c>
      <c r="T150" s="29" t="str">
        <f aca="false">IF(S150=0,"",COUNTIFS($S$5:$S$204,1,$F$5:$F$204,"&lt;"&amp;F150)+COUNTIFS($S$5:$S150,1,$F$5:$F150,F150))</f>
        <v/>
      </c>
    </row>
    <row r="151" customFormat="false" ht="15" hidden="false" customHeight="false" outlineLevel="0" collapsed="false">
      <c r="A151" s="22"/>
      <c r="B151" s="22"/>
      <c r="C151" s="22"/>
      <c r="D151" s="26"/>
      <c r="E151" s="22"/>
      <c r="F151" s="28" t="str">
        <f aca="false">IF(D151="","",D151+IF(E151="",Settings!$C$7,E151))</f>
        <v/>
      </c>
      <c r="G151" s="23"/>
      <c r="H151" s="23"/>
      <c r="I151" s="26"/>
      <c r="J151" s="25" t="str">
        <f aca="false">IF(G151="","",G151-N(H151))</f>
        <v/>
      </c>
      <c r="K151" s="21" t="str">
        <f aca="false">IF(OR(G151="",F151=""),"",IF(J151&lt;=0,"Paid",IF(Settings!$C$6&lt;F151,IF(N(H151)&gt;0,"Part-paid","Not due"),IF(Settings!$C$6=F151,"Due today","Overdue"))))</f>
        <v/>
      </c>
      <c r="L151" s="27" t="str">
        <f aca="false">IF(OR(G151="",F151=""),"",IF(J151&lt;=0,"",MAX(0,Settings!$C$6-F151)))</f>
        <v/>
      </c>
      <c r="M151" s="31" t="str">
        <f aca="false">IF(OR(G151="",F151=""),"",IF(J151&lt;=0,"Paid",IF(Settings!$C$6&gt;=F151+Settings!$P$18,"E",IF(Settings!$C$6&gt;=F151+Settings!$P$17,"D",IF(Settings!$C$6&gt;=F151+Settings!$P$16,"C",IF(Settings!$C$6&gt;=F151+Settings!$P$15,"B",IF(Settings!$C$6&gt;=F151+Settings!$P$14,"A","—")))))))</f>
        <v/>
      </c>
      <c r="N151" s="28" t="str">
        <f aca="false">IF(OR(G151="",F151="",J151&lt;=0),"",IF(Settings!$C$6&lt;F151+Settings!$P$14,F151+Settings!$P$14,IF(Settings!$C$6&lt;F151+Settings!$P$15,F151+Settings!$P$15,IF(Settings!$C$6&lt;F151+Settings!$P$16,F151+Settings!$P$16,IF(Settings!$C$6&lt;F151+Settings!$P$17,F151+Settings!$P$17,IF(Settings!$C$6&lt;F151+Settings!$P$18,F151+Settings!$P$18,""))))))</f>
        <v/>
      </c>
      <c r="O151" s="22"/>
      <c r="P151" s="26"/>
      <c r="Q151" s="21" t="str">
        <f aca="false">IF(OR(M151="",M151="Paid",M151="—"),IF(M151="Paid","Paid ✓",""),IF(O151="","Send "&amp;M151&amp;" now",IF(CODE(M151)&gt;CODE(O151),"Send "&amp;M151&amp;" now","Up to date")))</f>
        <v/>
      </c>
      <c r="R151" s="22"/>
      <c r="S151" s="29" t="n">
        <f aca="false">IF(LEFT(Q151,4)="Send",1,0)</f>
        <v>0</v>
      </c>
      <c r="T151" s="29" t="str">
        <f aca="false">IF(S151=0,"",COUNTIFS($S$5:$S$204,1,$F$5:$F$204,"&lt;"&amp;F151)+COUNTIFS($S$5:$S151,1,$F$5:$F151,F151))</f>
        <v/>
      </c>
    </row>
    <row r="152" customFormat="false" ht="15" hidden="false" customHeight="false" outlineLevel="0" collapsed="false">
      <c r="A152" s="22"/>
      <c r="B152" s="22"/>
      <c r="C152" s="22"/>
      <c r="D152" s="26"/>
      <c r="E152" s="22"/>
      <c r="F152" s="28" t="str">
        <f aca="false">IF(D152="","",D152+IF(E152="",Settings!$C$7,E152))</f>
        <v/>
      </c>
      <c r="G152" s="23"/>
      <c r="H152" s="23"/>
      <c r="I152" s="26"/>
      <c r="J152" s="25" t="str">
        <f aca="false">IF(G152="","",G152-N(H152))</f>
        <v/>
      </c>
      <c r="K152" s="21" t="str">
        <f aca="false">IF(OR(G152="",F152=""),"",IF(J152&lt;=0,"Paid",IF(Settings!$C$6&lt;F152,IF(N(H152)&gt;0,"Part-paid","Not due"),IF(Settings!$C$6=F152,"Due today","Overdue"))))</f>
        <v/>
      </c>
      <c r="L152" s="27" t="str">
        <f aca="false">IF(OR(G152="",F152=""),"",IF(J152&lt;=0,"",MAX(0,Settings!$C$6-F152)))</f>
        <v/>
      </c>
      <c r="M152" s="31" t="str">
        <f aca="false">IF(OR(G152="",F152=""),"",IF(J152&lt;=0,"Paid",IF(Settings!$C$6&gt;=F152+Settings!$P$18,"E",IF(Settings!$C$6&gt;=F152+Settings!$P$17,"D",IF(Settings!$C$6&gt;=F152+Settings!$P$16,"C",IF(Settings!$C$6&gt;=F152+Settings!$P$15,"B",IF(Settings!$C$6&gt;=F152+Settings!$P$14,"A","—")))))))</f>
        <v/>
      </c>
      <c r="N152" s="28" t="str">
        <f aca="false">IF(OR(G152="",F152="",J152&lt;=0),"",IF(Settings!$C$6&lt;F152+Settings!$P$14,F152+Settings!$P$14,IF(Settings!$C$6&lt;F152+Settings!$P$15,F152+Settings!$P$15,IF(Settings!$C$6&lt;F152+Settings!$P$16,F152+Settings!$P$16,IF(Settings!$C$6&lt;F152+Settings!$P$17,F152+Settings!$P$17,IF(Settings!$C$6&lt;F152+Settings!$P$18,F152+Settings!$P$18,""))))))</f>
        <v/>
      </c>
      <c r="O152" s="22"/>
      <c r="P152" s="26"/>
      <c r="Q152" s="21" t="str">
        <f aca="false">IF(OR(M152="",M152="Paid",M152="—"),IF(M152="Paid","Paid ✓",""),IF(O152="","Send "&amp;M152&amp;" now",IF(CODE(M152)&gt;CODE(O152),"Send "&amp;M152&amp;" now","Up to date")))</f>
        <v/>
      </c>
      <c r="R152" s="22"/>
      <c r="S152" s="29" t="n">
        <f aca="false">IF(LEFT(Q152,4)="Send",1,0)</f>
        <v>0</v>
      </c>
      <c r="T152" s="29" t="str">
        <f aca="false">IF(S152=0,"",COUNTIFS($S$5:$S$204,1,$F$5:$F$204,"&lt;"&amp;F152)+COUNTIFS($S$5:$S152,1,$F$5:$F152,F152))</f>
        <v/>
      </c>
    </row>
    <row r="153" customFormat="false" ht="15" hidden="false" customHeight="false" outlineLevel="0" collapsed="false">
      <c r="A153" s="22"/>
      <c r="B153" s="22"/>
      <c r="C153" s="22"/>
      <c r="D153" s="26"/>
      <c r="E153" s="22"/>
      <c r="F153" s="28" t="str">
        <f aca="false">IF(D153="","",D153+IF(E153="",Settings!$C$7,E153))</f>
        <v/>
      </c>
      <c r="G153" s="23"/>
      <c r="H153" s="23"/>
      <c r="I153" s="26"/>
      <c r="J153" s="25" t="str">
        <f aca="false">IF(G153="","",G153-N(H153))</f>
        <v/>
      </c>
      <c r="K153" s="21" t="str">
        <f aca="false">IF(OR(G153="",F153=""),"",IF(J153&lt;=0,"Paid",IF(Settings!$C$6&lt;F153,IF(N(H153)&gt;0,"Part-paid","Not due"),IF(Settings!$C$6=F153,"Due today","Overdue"))))</f>
        <v/>
      </c>
      <c r="L153" s="27" t="str">
        <f aca="false">IF(OR(G153="",F153=""),"",IF(J153&lt;=0,"",MAX(0,Settings!$C$6-F153)))</f>
        <v/>
      </c>
      <c r="M153" s="31" t="str">
        <f aca="false">IF(OR(G153="",F153=""),"",IF(J153&lt;=0,"Paid",IF(Settings!$C$6&gt;=F153+Settings!$P$18,"E",IF(Settings!$C$6&gt;=F153+Settings!$P$17,"D",IF(Settings!$C$6&gt;=F153+Settings!$P$16,"C",IF(Settings!$C$6&gt;=F153+Settings!$P$15,"B",IF(Settings!$C$6&gt;=F153+Settings!$P$14,"A","—")))))))</f>
        <v/>
      </c>
      <c r="N153" s="28" t="str">
        <f aca="false">IF(OR(G153="",F153="",J153&lt;=0),"",IF(Settings!$C$6&lt;F153+Settings!$P$14,F153+Settings!$P$14,IF(Settings!$C$6&lt;F153+Settings!$P$15,F153+Settings!$P$15,IF(Settings!$C$6&lt;F153+Settings!$P$16,F153+Settings!$P$16,IF(Settings!$C$6&lt;F153+Settings!$P$17,F153+Settings!$P$17,IF(Settings!$C$6&lt;F153+Settings!$P$18,F153+Settings!$P$18,""))))))</f>
        <v/>
      </c>
      <c r="O153" s="22"/>
      <c r="P153" s="26"/>
      <c r="Q153" s="21" t="str">
        <f aca="false">IF(OR(M153="",M153="Paid",M153="—"),IF(M153="Paid","Paid ✓",""),IF(O153="","Send "&amp;M153&amp;" now",IF(CODE(M153)&gt;CODE(O153),"Send "&amp;M153&amp;" now","Up to date")))</f>
        <v/>
      </c>
      <c r="R153" s="22"/>
      <c r="S153" s="29" t="n">
        <f aca="false">IF(LEFT(Q153,4)="Send",1,0)</f>
        <v>0</v>
      </c>
      <c r="T153" s="29" t="str">
        <f aca="false">IF(S153=0,"",COUNTIFS($S$5:$S$204,1,$F$5:$F$204,"&lt;"&amp;F153)+COUNTIFS($S$5:$S153,1,$F$5:$F153,F153))</f>
        <v/>
      </c>
    </row>
    <row r="154" customFormat="false" ht="15" hidden="false" customHeight="false" outlineLevel="0" collapsed="false">
      <c r="A154" s="22"/>
      <c r="B154" s="22"/>
      <c r="C154" s="22"/>
      <c r="D154" s="26"/>
      <c r="E154" s="22"/>
      <c r="F154" s="28" t="str">
        <f aca="false">IF(D154="","",D154+IF(E154="",Settings!$C$7,E154))</f>
        <v/>
      </c>
      <c r="G154" s="23"/>
      <c r="H154" s="23"/>
      <c r="I154" s="26"/>
      <c r="J154" s="25" t="str">
        <f aca="false">IF(G154="","",G154-N(H154))</f>
        <v/>
      </c>
      <c r="K154" s="21" t="str">
        <f aca="false">IF(OR(G154="",F154=""),"",IF(J154&lt;=0,"Paid",IF(Settings!$C$6&lt;F154,IF(N(H154)&gt;0,"Part-paid","Not due"),IF(Settings!$C$6=F154,"Due today","Overdue"))))</f>
        <v/>
      </c>
      <c r="L154" s="27" t="str">
        <f aca="false">IF(OR(G154="",F154=""),"",IF(J154&lt;=0,"",MAX(0,Settings!$C$6-F154)))</f>
        <v/>
      </c>
      <c r="M154" s="31" t="str">
        <f aca="false">IF(OR(G154="",F154=""),"",IF(J154&lt;=0,"Paid",IF(Settings!$C$6&gt;=F154+Settings!$P$18,"E",IF(Settings!$C$6&gt;=F154+Settings!$P$17,"D",IF(Settings!$C$6&gt;=F154+Settings!$P$16,"C",IF(Settings!$C$6&gt;=F154+Settings!$P$15,"B",IF(Settings!$C$6&gt;=F154+Settings!$P$14,"A","—")))))))</f>
        <v/>
      </c>
      <c r="N154" s="28" t="str">
        <f aca="false">IF(OR(G154="",F154="",J154&lt;=0),"",IF(Settings!$C$6&lt;F154+Settings!$P$14,F154+Settings!$P$14,IF(Settings!$C$6&lt;F154+Settings!$P$15,F154+Settings!$P$15,IF(Settings!$C$6&lt;F154+Settings!$P$16,F154+Settings!$P$16,IF(Settings!$C$6&lt;F154+Settings!$P$17,F154+Settings!$P$17,IF(Settings!$C$6&lt;F154+Settings!$P$18,F154+Settings!$P$18,""))))))</f>
        <v/>
      </c>
      <c r="O154" s="22"/>
      <c r="P154" s="26"/>
      <c r="Q154" s="21" t="str">
        <f aca="false">IF(OR(M154="",M154="Paid",M154="—"),IF(M154="Paid","Paid ✓",""),IF(O154="","Send "&amp;M154&amp;" now",IF(CODE(M154)&gt;CODE(O154),"Send "&amp;M154&amp;" now","Up to date")))</f>
        <v/>
      </c>
      <c r="R154" s="22"/>
      <c r="S154" s="29" t="n">
        <f aca="false">IF(LEFT(Q154,4)="Send",1,0)</f>
        <v>0</v>
      </c>
      <c r="T154" s="29" t="str">
        <f aca="false">IF(S154=0,"",COUNTIFS($S$5:$S$204,1,$F$5:$F$204,"&lt;"&amp;F154)+COUNTIFS($S$5:$S154,1,$F$5:$F154,F154))</f>
        <v/>
      </c>
    </row>
    <row r="155" customFormat="false" ht="15" hidden="false" customHeight="false" outlineLevel="0" collapsed="false">
      <c r="A155" s="22"/>
      <c r="B155" s="22"/>
      <c r="C155" s="22"/>
      <c r="D155" s="26"/>
      <c r="E155" s="22"/>
      <c r="F155" s="28" t="str">
        <f aca="false">IF(D155="","",D155+IF(E155="",Settings!$C$7,E155))</f>
        <v/>
      </c>
      <c r="G155" s="23"/>
      <c r="H155" s="23"/>
      <c r="I155" s="26"/>
      <c r="J155" s="25" t="str">
        <f aca="false">IF(G155="","",G155-N(H155))</f>
        <v/>
      </c>
      <c r="K155" s="21" t="str">
        <f aca="false">IF(OR(G155="",F155=""),"",IF(J155&lt;=0,"Paid",IF(Settings!$C$6&lt;F155,IF(N(H155)&gt;0,"Part-paid","Not due"),IF(Settings!$C$6=F155,"Due today","Overdue"))))</f>
        <v/>
      </c>
      <c r="L155" s="27" t="str">
        <f aca="false">IF(OR(G155="",F155=""),"",IF(J155&lt;=0,"",MAX(0,Settings!$C$6-F155)))</f>
        <v/>
      </c>
      <c r="M155" s="31" t="str">
        <f aca="false">IF(OR(G155="",F155=""),"",IF(J155&lt;=0,"Paid",IF(Settings!$C$6&gt;=F155+Settings!$P$18,"E",IF(Settings!$C$6&gt;=F155+Settings!$P$17,"D",IF(Settings!$C$6&gt;=F155+Settings!$P$16,"C",IF(Settings!$C$6&gt;=F155+Settings!$P$15,"B",IF(Settings!$C$6&gt;=F155+Settings!$P$14,"A","—")))))))</f>
        <v/>
      </c>
      <c r="N155" s="28" t="str">
        <f aca="false">IF(OR(G155="",F155="",J155&lt;=0),"",IF(Settings!$C$6&lt;F155+Settings!$P$14,F155+Settings!$P$14,IF(Settings!$C$6&lt;F155+Settings!$P$15,F155+Settings!$P$15,IF(Settings!$C$6&lt;F155+Settings!$P$16,F155+Settings!$P$16,IF(Settings!$C$6&lt;F155+Settings!$P$17,F155+Settings!$P$17,IF(Settings!$C$6&lt;F155+Settings!$P$18,F155+Settings!$P$18,""))))))</f>
        <v/>
      </c>
      <c r="O155" s="22"/>
      <c r="P155" s="26"/>
      <c r="Q155" s="21" t="str">
        <f aca="false">IF(OR(M155="",M155="Paid",M155="—"),IF(M155="Paid","Paid ✓",""),IF(O155="","Send "&amp;M155&amp;" now",IF(CODE(M155)&gt;CODE(O155),"Send "&amp;M155&amp;" now","Up to date")))</f>
        <v/>
      </c>
      <c r="R155" s="22"/>
      <c r="S155" s="29" t="n">
        <f aca="false">IF(LEFT(Q155,4)="Send",1,0)</f>
        <v>0</v>
      </c>
      <c r="T155" s="29" t="str">
        <f aca="false">IF(S155=0,"",COUNTIFS($S$5:$S$204,1,$F$5:$F$204,"&lt;"&amp;F155)+COUNTIFS($S$5:$S155,1,$F$5:$F155,F155))</f>
        <v/>
      </c>
    </row>
    <row r="156" customFormat="false" ht="15" hidden="false" customHeight="false" outlineLevel="0" collapsed="false">
      <c r="A156" s="22"/>
      <c r="B156" s="22"/>
      <c r="C156" s="22"/>
      <c r="D156" s="26"/>
      <c r="E156" s="22"/>
      <c r="F156" s="28" t="str">
        <f aca="false">IF(D156="","",D156+IF(E156="",Settings!$C$7,E156))</f>
        <v/>
      </c>
      <c r="G156" s="23"/>
      <c r="H156" s="23"/>
      <c r="I156" s="26"/>
      <c r="J156" s="25" t="str">
        <f aca="false">IF(G156="","",G156-N(H156))</f>
        <v/>
      </c>
      <c r="K156" s="21" t="str">
        <f aca="false">IF(OR(G156="",F156=""),"",IF(J156&lt;=0,"Paid",IF(Settings!$C$6&lt;F156,IF(N(H156)&gt;0,"Part-paid","Not due"),IF(Settings!$C$6=F156,"Due today","Overdue"))))</f>
        <v/>
      </c>
      <c r="L156" s="27" t="str">
        <f aca="false">IF(OR(G156="",F156=""),"",IF(J156&lt;=0,"",MAX(0,Settings!$C$6-F156)))</f>
        <v/>
      </c>
      <c r="M156" s="31" t="str">
        <f aca="false">IF(OR(G156="",F156=""),"",IF(J156&lt;=0,"Paid",IF(Settings!$C$6&gt;=F156+Settings!$P$18,"E",IF(Settings!$C$6&gt;=F156+Settings!$P$17,"D",IF(Settings!$C$6&gt;=F156+Settings!$P$16,"C",IF(Settings!$C$6&gt;=F156+Settings!$P$15,"B",IF(Settings!$C$6&gt;=F156+Settings!$P$14,"A","—")))))))</f>
        <v/>
      </c>
      <c r="N156" s="28" t="str">
        <f aca="false">IF(OR(G156="",F156="",J156&lt;=0),"",IF(Settings!$C$6&lt;F156+Settings!$P$14,F156+Settings!$P$14,IF(Settings!$C$6&lt;F156+Settings!$P$15,F156+Settings!$P$15,IF(Settings!$C$6&lt;F156+Settings!$P$16,F156+Settings!$P$16,IF(Settings!$C$6&lt;F156+Settings!$P$17,F156+Settings!$P$17,IF(Settings!$C$6&lt;F156+Settings!$P$18,F156+Settings!$P$18,""))))))</f>
        <v/>
      </c>
      <c r="O156" s="22"/>
      <c r="P156" s="26"/>
      <c r="Q156" s="21" t="str">
        <f aca="false">IF(OR(M156="",M156="Paid",M156="—"),IF(M156="Paid","Paid ✓",""),IF(O156="","Send "&amp;M156&amp;" now",IF(CODE(M156)&gt;CODE(O156),"Send "&amp;M156&amp;" now","Up to date")))</f>
        <v/>
      </c>
      <c r="R156" s="22"/>
      <c r="S156" s="29" t="n">
        <f aca="false">IF(LEFT(Q156,4)="Send",1,0)</f>
        <v>0</v>
      </c>
      <c r="T156" s="29" t="str">
        <f aca="false">IF(S156=0,"",COUNTIFS($S$5:$S$204,1,$F$5:$F$204,"&lt;"&amp;F156)+COUNTIFS($S$5:$S156,1,$F$5:$F156,F156))</f>
        <v/>
      </c>
    </row>
    <row r="157" customFormat="false" ht="15" hidden="false" customHeight="false" outlineLevel="0" collapsed="false">
      <c r="A157" s="22"/>
      <c r="B157" s="22"/>
      <c r="C157" s="22"/>
      <c r="D157" s="26"/>
      <c r="E157" s="22"/>
      <c r="F157" s="28" t="str">
        <f aca="false">IF(D157="","",D157+IF(E157="",Settings!$C$7,E157))</f>
        <v/>
      </c>
      <c r="G157" s="23"/>
      <c r="H157" s="23"/>
      <c r="I157" s="26"/>
      <c r="J157" s="25" t="str">
        <f aca="false">IF(G157="","",G157-N(H157))</f>
        <v/>
      </c>
      <c r="K157" s="21" t="str">
        <f aca="false">IF(OR(G157="",F157=""),"",IF(J157&lt;=0,"Paid",IF(Settings!$C$6&lt;F157,IF(N(H157)&gt;0,"Part-paid","Not due"),IF(Settings!$C$6=F157,"Due today","Overdue"))))</f>
        <v/>
      </c>
      <c r="L157" s="27" t="str">
        <f aca="false">IF(OR(G157="",F157=""),"",IF(J157&lt;=0,"",MAX(0,Settings!$C$6-F157)))</f>
        <v/>
      </c>
      <c r="M157" s="31" t="str">
        <f aca="false">IF(OR(G157="",F157=""),"",IF(J157&lt;=0,"Paid",IF(Settings!$C$6&gt;=F157+Settings!$P$18,"E",IF(Settings!$C$6&gt;=F157+Settings!$P$17,"D",IF(Settings!$C$6&gt;=F157+Settings!$P$16,"C",IF(Settings!$C$6&gt;=F157+Settings!$P$15,"B",IF(Settings!$C$6&gt;=F157+Settings!$P$14,"A","—")))))))</f>
        <v/>
      </c>
      <c r="N157" s="28" t="str">
        <f aca="false">IF(OR(G157="",F157="",J157&lt;=0),"",IF(Settings!$C$6&lt;F157+Settings!$P$14,F157+Settings!$P$14,IF(Settings!$C$6&lt;F157+Settings!$P$15,F157+Settings!$P$15,IF(Settings!$C$6&lt;F157+Settings!$P$16,F157+Settings!$P$16,IF(Settings!$C$6&lt;F157+Settings!$P$17,F157+Settings!$P$17,IF(Settings!$C$6&lt;F157+Settings!$P$18,F157+Settings!$P$18,""))))))</f>
        <v/>
      </c>
      <c r="O157" s="22"/>
      <c r="P157" s="26"/>
      <c r="Q157" s="21" t="str">
        <f aca="false">IF(OR(M157="",M157="Paid",M157="—"),IF(M157="Paid","Paid ✓",""),IF(O157="","Send "&amp;M157&amp;" now",IF(CODE(M157)&gt;CODE(O157),"Send "&amp;M157&amp;" now","Up to date")))</f>
        <v/>
      </c>
      <c r="R157" s="22"/>
      <c r="S157" s="29" t="n">
        <f aca="false">IF(LEFT(Q157,4)="Send",1,0)</f>
        <v>0</v>
      </c>
      <c r="T157" s="29" t="str">
        <f aca="false">IF(S157=0,"",COUNTIFS($S$5:$S$204,1,$F$5:$F$204,"&lt;"&amp;F157)+COUNTIFS($S$5:$S157,1,$F$5:$F157,F157))</f>
        <v/>
      </c>
    </row>
    <row r="158" customFormat="false" ht="15" hidden="false" customHeight="false" outlineLevel="0" collapsed="false">
      <c r="A158" s="22"/>
      <c r="B158" s="22"/>
      <c r="C158" s="22"/>
      <c r="D158" s="26"/>
      <c r="E158" s="22"/>
      <c r="F158" s="28" t="str">
        <f aca="false">IF(D158="","",D158+IF(E158="",Settings!$C$7,E158))</f>
        <v/>
      </c>
      <c r="G158" s="23"/>
      <c r="H158" s="23"/>
      <c r="I158" s="26"/>
      <c r="J158" s="25" t="str">
        <f aca="false">IF(G158="","",G158-N(H158))</f>
        <v/>
      </c>
      <c r="K158" s="21" t="str">
        <f aca="false">IF(OR(G158="",F158=""),"",IF(J158&lt;=0,"Paid",IF(Settings!$C$6&lt;F158,IF(N(H158)&gt;0,"Part-paid","Not due"),IF(Settings!$C$6=F158,"Due today","Overdue"))))</f>
        <v/>
      </c>
      <c r="L158" s="27" t="str">
        <f aca="false">IF(OR(G158="",F158=""),"",IF(J158&lt;=0,"",MAX(0,Settings!$C$6-F158)))</f>
        <v/>
      </c>
      <c r="M158" s="31" t="str">
        <f aca="false">IF(OR(G158="",F158=""),"",IF(J158&lt;=0,"Paid",IF(Settings!$C$6&gt;=F158+Settings!$P$18,"E",IF(Settings!$C$6&gt;=F158+Settings!$P$17,"D",IF(Settings!$C$6&gt;=F158+Settings!$P$16,"C",IF(Settings!$C$6&gt;=F158+Settings!$P$15,"B",IF(Settings!$C$6&gt;=F158+Settings!$P$14,"A","—")))))))</f>
        <v/>
      </c>
      <c r="N158" s="28" t="str">
        <f aca="false">IF(OR(G158="",F158="",J158&lt;=0),"",IF(Settings!$C$6&lt;F158+Settings!$P$14,F158+Settings!$P$14,IF(Settings!$C$6&lt;F158+Settings!$P$15,F158+Settings!$P$15,IF(Settings!$C$6&lt;F158+Settings!$P$16,F158+Settings!$P$16,IF(Settings!$C$6&lt;F158+Settings!$P$17,F158+Settings!$P$17,IF(Settings!$C$6&lt;F158+Settings!$P$18,F158+Settings!$P$18,""))))))</f>
        <v/>
      </c>
      <c r="O158" s="22"/>
      <c r="P158" s="26"/>
      <c r="Q158" s="21" t="str">
        <f aca="false">IF(OR(M158="",M158="Paid",M158="—"),IF(M158="Paid","Paid ✓",""),IF(O158="","Send "&amp;M158&amp;" now",IF(CODE(M158)&gt;CODE(O158),"Send "&amp;M158&amp;" now","Up to date")))</f>
        <v/>
      </c>
      <c r="R158" s="22"/>
      <c r="S158" s="29" t="n">
        <f aca="false">IF(LEFT(Q158,4)="Send",1,0)</f>
        <v>0</v>
      </c>
      <c r="T158" s="29" t="str">
        <f aca="false">IF(S158=0,"",COUNTIFS($S$5:$S$204,1,$F$5:$F$204,"&lt;"&amp;F158)+COUNTIFS($S$5:$S158,1,$F$5:$F158,F158))</f>
        <v/>
      </c>
    </row>
    <row r="159" customFormat="false" ht="15" hidden="false" customHeight="false" outlineLevel="0" collapsed="false">
      <c r="A159" s="22"/>
      <c r="B159" s="22"/>
      <c r="C159" s="22"/>
      <c r="D159" s="26"/>
      <c r="E159" s="22"/>
      <c r="F159" s="28" t="str">
        <f aca="false">IF(D159="","",D159+IF(E159="",Settings!$C$7,E159))</f>
        <v/>
      </c>
      <c r="G159" s="23"/>
      <c r="H159" s="23"/>
      <c r="I159" s="26"/>
      <c r="J159" s="25" t="str">
        <f aca="false">IF(G159="","",G159-N(H159))</f>
        <v/>
      </c>
      <c r="K159" s="21" t="str">
        <f aca="false">IF(OR(G159="",F159=""),"",IF(J159&lt;=0,"Paid",IF(Settings!$C$6&lt;F159,IF(N(H159)&gt;0,"Part-paid","Not due"),IF(Settings!$C$6=F159,"Due today","Overdue"))))</f>
        <v/>
      </c>
      <c r="L159" s="27" t="str">
        <f aca="false">IF(OR(G159="",F159=""),"",IF(J159&lt;=0,"",MAX(0,Settings!$C$6-F159)))</f>
        <v/>
      </c>
      <c r="M159" s="31" t="str">
        <f aca="false">IF(OR(G159="",F159=""),"",IF(J159&lt;=0,"Paid",IF(Settings!$C$6&gt;=F159+Settings!$P$18,"E",IF(Settings!$C$6&gt;=F159+Settings!$P$17,"D",IF(Settings!$C$6&gt;=F159+Settings!$P$16,"C",IF(Settings!$C$6&gt;=F159+Settings!$P$15,"B",IF(Settings!$C$6&gt;=F159+Settings!$P$14,"A","—")))))))</f>
        <v/>
      </c>
      <c r="N159" s="28" t="str">
        <f aca="false">IF(OR(G159="",F159="",J159&lt;=0),"",IF(Settings!$C$6&lt;F159+Settings!$P$14,F159+Settings!$P$14,IF(Settings!$C$6&lt;F159+Settings!$P$15,F159+Settings!$P$15,IF(Settings!$C$6&lt;F159+Settings!$P$16,F159+Settings!$P$16,IF(Settings!$C$6&lt;F159+Settings!$P$17,F159+Settings!$P$17,IF(Settings!$C$6&lt;F159+Settings!$P$18,F159+Settings!$P$18,""))))))</f>
        <v/>
      </c>
      <c r="O159" s="22"/>
      <c r="P159" s="26"/>
      <c r="Q159" s="21" t="str">
        <f aca="false">IF(OR(M159="",M159="Paid",M159="—"),IF(M159="Paid","Paid ✓",""),IF(O159="","Send "&amp;M159&amp;" now",IF(CODE(M159)&gt;CODE(O159),"Send "&amp;M159&amp;" now","Up to date")))</f>
        <v/>
      </c>
      <c r="R159" s="22"/>
      <c r="S159" s="29" t="n">
        <f aca="false">IF(LEFT(Q159,4)="Send",1,0)</f>
        <v>0</v>
      </c>
      <c r="T159" s="29" t="str">
        <f aca="false">IF(S159=0,"",COUNTIFS($S$5:$S$204,1,$F$5:$F$204,"&lt;"&amp;F159)+COUNTIFS($S$5:$S159,1,$F$5:$F159,F159))</f>
        <v/>
      </c>
    </row>
    <row r="160" customFormat="false" ht="15" hidden="false" customHeight="false" outlineLevel="0" collapsed="false">
      <c r="A160" s="22"/>
      <c r="B160" s="22"/>
      <c r="C160" s="22"/>
      <c r="D160" s="26"/>
      <c r="E160" s="22"/>
      <c r="F160" s="28" t="str">
        <f aca="false">IF(D160="","",D160+IF(E160="",Settings!$C$7,E160))</f>
        <v/>
      </c>
      <c r="G160" s="23"/>
      <c r="H160" s="23"/>
      <c r="I160" s="26"/>
      <c r="J160" s="25" t="str">
        <f aca="false">IF(G160="","",G160-N(H160))</f>
        <v/>
      </c>
      <c r="K160" s="21" t="str">
        <f aca="false">IF(OR(G160="",F160=""),"",IF(J160&lt;=0,"Paid",IF(Settings!$C$6&lt;F160,IF(N(H160)&gt;0,"Part-paid","Not due"),IF(Settings!$C$6=F160,"Due today","Overdue"))))</f>
        <v/>
      </c>
      <c r="L160" s="27" t="str">
        <f aca="false">IF(OR(G160="",F160=""),"",IF(J160&lt;=0,"",MAX(0,Settings!$C$6-F160)))</f>
        <v/>
      </c>
      <c r="M160" s="31" t="str">
        <f aca="false">IF(OR(G160="",F160=""),"",IF(J160&lt;=0,"Paid",IF(Settings!$C$6&gt;=F160+Settings!$P$18,"E",IF(Settings!$C$6&gt;=F160+Settings!$P$17,"D",IF(Settings!$C$6&gt;=F160+Settings!$P$16,"C",IF(Settings!$C$6&gt;=F160+Settings!$P$15,"B",IF(Settings!$C$6&gt;=F160+Settings!$P$14,"A","—")))))))</f>
        <v/>
      </c>
      <c r="N160" s="28" t="str">
        <f aca="false">IF(OR(G160="",F160="",J160&lt;=0),"",IF(Settings!$C$6&lt;F160+Settings!$P$14,F160+Settings!$P$14,IF(Settings!$C$6&lt;F160+Settings!$P$15,F160+Settings!$P$15,IF(Settings!$C$6&lt;F160+Settings!$P$16,F160+Settings!$P$16,IF(Settings!$C$6&lt;F160+Settings!$P$17,F160+Settings!$P$17,IF(Settings!$C$6&lt;F160+Settings!$P$18,F160+Settings!$P$18,""))))))</f>
        <v/>
      </c>
      <c r="O160" s="22"/>
      <c r="P160" s="26"/>
      <c r="Q160" s="21" t="str">
        <f aca="false">IF(OR(M160="",M160="Paid",M160="—"),IF(M160="Paid","Paid ✓",""),IF(O160="","Send "&amp;M160&amp;" now",IF(CODE(M160)&gt;CODE(O160),"Send "&amp;M160&amp;" now","Up to date")))</f>
        <v/>
      </c>
      <c r="R160" s="22"/>
      <c r="S160" s="29" t="n">
        <f aca="false">IF(LEFT(Q160,4)="Send",1,0)</f>
        <v>0</v>
      </c>
      <c r="T160" s="29" t="str">
        <f aca="false">IF(S160=0,"",COUNTIFS($S$5:$S$204,1,$F$5:$F$204,"&lt;"&amp;F160)+COUNTIFS($S$5:$S160,1,$F$5:$F160,F160))</f>
        <v/>
      </c>
    </row>
    <row r="161" customFormat="false" ht="15" hidden="false" customHeight="false" outlineLevel="0" collapsed="false">
      <c r="A161" s="22"/>
      <c r="B161" s="22"/>
      <c r="C161" s="22"/>
      <c r="D161" s="26"/>
      <c r="E161" s="22"/>
      <c r="F161" s="28" t="str">
        <f aca="false">IF(D161="","",D161+IF(E161="",Settings!$C$7,E161))</f>
        <v/>
      </c>
      <c r="G161" s="23"/>
      <c r="H161" s="23"/>
      <c r="I161" s="26"/>
      <c r="J161" s="25" t="str">
        <f aca="false">IF(G161="","",G161-N(H161))</f>
        <v/>
      </c>
      <c r="K161" s="21" t="str">
        <f aca="false">IF(OR(G161="",F161=""),"",IF(J161&lt;=0,"Paid",IF(Settings!$C$6&lt;F161,IF(N(H161)&gt;0,"Part-paid","Not due"),IF(Settings!$C$6=F161,"Due today","Overdue"))))</f>
        <v/>
      </c>
      <c r="L161" s="27" t="str">
        <f aca="false">IF(OR(G161="",F161=""),"",IF(J161&lt;=0,"",MAX(0,Settings!$C$6-F161)))</f>
        <v/>
      </c>
      <c r="M161" s="31" t="str">
        <f aca="false">IF(OR(G161="",F161=""),"",IF(J161&lt;=0,"Paid",IF(Settings!$C$6&gt;=F161+Settings!$P$18,"E",IF(Settings!$C$6&gt;=F161+Settings!$P$17,"D",IF(Settings!$C$6&gt;=F161+Settings!$P$16,"C",IF(Settings!$C$6&gt;=F161+Settings!$P$15,"B",IF(Settings!$C$6&gt;=F161+Settings!$P$14,"A","—")))))))</f>
        <v/>
      </c>
      <c r="N161" s="28" t="str">
        <f aca="false">IF(OR(G161="",F161="",J161&lt;=0),"",IF(Settings!$C$6&lt;F161+Settings!$P$14,F161+Settings!$P$14,IF(Settings!$C$6&lt;F161+Settings!$P$15,F161+Settings!$P$15,IF(Settings!$C$6&lt;F161+Settings!$P$16,F161+Settings!$P$16,IF(Settings!$C$6&lt;F161+Settings!$P$17,F161+Settings!$P$17,IF(Settings!$C$6&lt;F161+Settings!$P$18,F161+Settings!$P$18,""))))))</f>
        <v/>
      </c>
      <c r="O161" s="22"/>
      <c r="P161" s="26"/>
      <c r="Q161" s="21" t="str">
        <f aca="false">IF(OR(M161="",M161="Paid",M161="—"),IF(M161="Paid","Paid ✓",""),IF(O161="","Send "&amp;M161&amp;" now",IF(CODE(M161)&gt;CODE(O161),"Send "&amp;M161&amp;" now","Up to date")))</f>
        <v/>
      </c>
      <c r="R161" s="22"/>
      <c r="S161" s="29" t="n">
        <f aca="false">IF(LEFT(Q161,4)="Send",1,0)</f>
        <v>0</v>
      </c>
      <c r="T161" s="29" t="str">
        <f aca="false">IF(S161=0,"",COUNTIFS($S$5:$S$204,1,$F$5:$F$204,"&lt;"&amp;F161)+COUNTIFS($S$5:$S161,1,$F$5:$F161,F161))</f>
        <v/>
      </c>
    </row>
    <row r="162" customFormat="false" ht="15" hidden="false" customHeight="false" outlineLevel="0" collapsed="false">
      <c r="A162" s="22"/>
      <c r="B162" s="22"/>
      <c r="C162" s="22"/>
      <c r="D162" s="26"/>
      <c r="E162" s="22"/>
      <c r="F162" s="28" t="str">
        <f aca="false">IF(D162="","",D162+IF(E162="",Settings!$C$7,E162))</f>
        <v/>
      </c>
      <c r="G162" s="23"/>
      <c r="H162" s="23"/>
      <c r="I162" s="26"/>
      <c r="J162" s="25" t="str">
        <f aca="false">IF(G162="","",G162-N(H162))</f>
        <v/>
      </c>
      <c r="K162" s="21" t="str">
        <f aca="false">IF(OR(G162="",F162=""),"",IF(J162&lt;=0,"Paid",IF(Settings!$C$6&lt;F162,IF(N(H162)&gt;0,"Part-paid","Not due"),IF(Settings!$C$6=F162,"Due today","Overdue"))))</f>
        <v/>
      </c>
      <c r="L162" s="27" t="str">
        <f aca="false">IF(OR(G162="",F162=""),"",IF(J162&lt;=0,"",MAX(0,Settings!$C$6-F162)))</f>
        <v/>
      </c>
      <c r="M162" s="31" t="str">
        <f aca="false">IF(OR(G162="",F162=""),"",IF(J162&lt;=0,"Paid",IF(Settings!$C$6&gt;=F162+Settings!$P$18,"E",IF(Settings!$C$6&gt;=F162+Settings!$P$17,"D",IF(Settings!$C$6&gt;=F162+Settings!$P$16,"C",IF(Settings!$C$6&gt;=F162+Settings!$P$15,"B",IF(Settings!$C$6&gt;=F162+Settings!$P$14,"A","—")))))))</f>
        <v/>
      </c>
      <c r="N162" s="28" t="str">
        <f aca="false">IF(OR(G162="",F162="",J162&lt;=0),"",IF(Settings!$C$6&lt;F162+Settings!$P$14,F162+Settings!$P$14,IF(Settings!$C$6&lt;F162+Settings!$P$15,F162+Settings!$P$15,IF(Settings!$C$6&lt;F162+Settings!$P$16,F162+Settings!$P$16,IF(Settings!$C$6&lt;F162+Settings!$P$17,F162+Settings!$P$17,IF(Settings!$C$6&lt;F162+Settings!$P$18,F162+Settings!$P$18,""))))))</f>
        <v/>
      </c>
      <c r="O162" s="22"/>
      <c r="P162" s="26"/>
      <c r="Q162" s="21" t="str">
        <f aca="false">IF(OR(M162="",M162="Paid",M162="—"),IF(M162="Paid","Paid ✓",""),IF(O162="","Send "&amp;M162&amp;" now",IF(CODE(M162)&gt;CODE(O162),"Send "&amp;M162&amp;" now","Up to date")))</f>
        <v/>
      </c>
      <c r="R162" s="22"/>
      <c r="S162" s="29" t="n">
        <f aca="false">IF(LEFT(Q162,4)="Send",1,0)</f>
        <v>0</v>
      </c>
      <c r="T162" s="29" t="str">
        <f aca="false">IF(S162=0,"",COUNTIFS($S$5:$S$204,1,$F$5:$F$204,"&lt;"&amp;F162)+COUNTIFS($S$5:$S162,1,$F$5:$F162,F162))</f>
        <v/>
      </c>
    </row>
    <row r="163" customFormat="false" ht="15" hidden="false" customHeight="false" outlineLevel="0" collapsed="false">
      <c r="A163" s="22"/>
      <c r="B163" s="22"/>
      <c r="C163" s="22"/>
      <c r="D163" s="26"/>
      <c r="E163" s="22"/>
      <c r="F163" s="28" t="str">
        <f aca="false">IF(D163="","",D163+IF(E163="",Settings!$C$7,E163))</f>
        <v/>
      </c>
      <c r="G163" s="23"/>
      <c r="H163" s="23"/>
      <c r="I163" s="26"/>
      <c r="J163" s="25" t="str">
        <f aca="false">IF(G163="","",G163-N(H163))</f>
        <v/>
      </c>
      <c r="K163" s="21" t="str">
        <f aca="false">IF(OR(G163="",F163=""),"",IF(J163&lt;=0,"Paid",IF(Settings!$C$6&lt;F163,IF(N(H163)&gt;0,"Part-paid","Not due"),IF(Settings!$C$6=F163,"Due today","Overdue"))))</f>
        <v/>
      </c>
      <c r="L163" s="27" t="str">
        <f aca="false">IF(OR(G163="",F163=""),"",IF(J163&lt;=0,"",MAX(0,Settings!$C$6-F163)))</f>
        <v/>
      </c>
      <c r="M163" s="31" t="str">
        <f aca="false">IF(OR(G163="",F163=""),"",IF(J163&lt;=0,"Paid",IF(Settings!$C$6&gt;=F163+Settings!$P$18,"E",IF(Settings!$C$6&gt;=F163+Settings!$P$17,"D",IF(Settings!$C$6&gt;=F163+Settings!$P$16,"C",IF(Settings!$C$6&gt;=F163+Settings!$P$15,"B",IF(Settings!$C$6&gt;=F163+Settings!$P$14,"A","—")))))))</f>
        <v/>
      </c>
      <c r="N163" s="28" t="str">
        <f aca="false">IF(OR(G163="",F163="",J163&lt;=0),"",IF(Settings!$C$6&lt;F163+Settings!$P$14,F163+Settings!$P$14,IF(Settings!$C$6&lt;F163+Settings!$P$15,F163+Settings!$P$15,IF(Settings!$C$6&lt;F163+Settings!$P$16,F163+Settings!$P$16,IF(Settings!$C$6&lt;F163+Settings!$P$17,F163+Settings!$P$17,IF(Settings!$C$6&lt;F163+Settings!$P$18,F163+Settings!$P$18,""))))))</f>
        <v/>
      </c>
      <c r="O163" s="22"/>
      <c r="P163" s="26"/>
      <c r="Q163" s="21" t="str">
        <f aca="false">IF(OR(M163="",M163="Paid",M163="—"),IF(M163="Paid","Paid ✓",""),IF(O163="","Send "&amp;M163&amp;" now",IF(CODE(M163)&gt;CODE(O163),"Send "&amp;M163&amp;" now","Up to date")))</f>
        <v/>
      </c>
      <c r="R163" s="22"/>
      <c r="S163" s="29" t="n">
        <f aca="false">IF(LEFT(Q163,4)="Send",1,0)</f>
        <v>0</v>
      </c>
      <c r="T163" s="29" t="str">
        <f aca="false">IF(S163=0,"",COUNTIFS($S$5:$S$204,1,$F$5:$F$204,"&lt;"&amp;F163)+COUNTIFS($S$5:$S163,1,$F$5:$F163,F163))</f>
        <v/>
      </c>
    </row>
    <row r="164" customFormat="false" ht="15" hidden="false" customHeight="false" outlineLevel="0" collapsed="false">
      <c r="A164" s="22"/>
      <c r="B164" s="22"/>
      <c r="C164" s="22"/>
      <c r="D164" s="26"/>
      <c r="E164" s="22"/>
      <c r="F164" s="28" t="str">
        <f aca="false">IF(D164="","",D164+IF(E164="",Settings!$C$7,E164))</f>
        <v/>
      </c>
      <c r="G164" s="23"/>
      <c r="H164" s="23"/>
      <c r="I164" s="26"/>
      <c r="J164" s="25" t="str">
        <f aca="false">IF(G164="","",G164-N(H164))</f>
        <v/>
      </c>
      <c r="K164" s="21" t="str">
        <f aca="false">IF(OR(G164="",F164=""),"",IF(J164&lt;=0,"Paid",IF(Settings!$C$6&lt;F164,IF(N(H164)&gt;0,"Part-paid","Not due"),IF(Settings!$C$6=F164,"Due today","Overdue"))))</f>
        <v/>
      </c>
      <c r="L164" s="27" t="str">
        <f aca="false">IF(OR(G164="",F164=""),"",IF(J164&lt;=0,"",MAX(0,Settings!$C$6-F164)))</f>
        <v/>
      </c>
      <c r="M164" s="31" t="str">
        <f aca="false">IF(OR(G164="",F164=""),"",IF(J164&lt;=0,"Paid",IF(Settings!$C$6&gt;=F164+Settings!$P$18,"E",IF(Settings!$C$6&gt;=F164+Settings!$P$17,"D",IF(Settings!$C$6&gt;=F164+Settings!$P$16,"C",IF(Settings!$C$6&gt;=F164+Settings!$P$15,"B",IF(Settings!$C$6&gt;=F164+Settings!$P$14,"A","—")))))))</f>
        <v/>
      </c>
      <c r="N164" s="28" t="str">
        <f aca="false">IF(OR(G164="",F164="",J164&lt;=0),"",IF(Settings!$C$6&lt;F164+Settings!$P$14,F164+Settings!$P$14,IF(Settings!$C$6&lt;F164+Settings!$P$15,F164+Settings!$P$15,IF(Settings!$C$6&lt;F164+Settings!$P$16,F164+Settings!$P$16,IF(Settings!$C$6&lt;F164+Settings!$P$17,F164+Settings!$P$17,IF(Settings!$C$6&lt;F164+Settings!$P$18,F164+Settings!$P$18,""))))))</f>
        <v/>
      </c>
      <c r="O164" s="22"/>
      <c r="P164" s="26"/>
      <c r="Q164" s="21" t="str">
        <f aca="false">IF(OR(M164="",M164="Paid",M164="—"),IF(M164="Paid","Paid ✓",""),IF(O164="","Send "&amp;M164&amp;" now",IF(CODE(M164)&gt;CODE(O164),"Send "&amp;M164&amp;" now","Up to date")))</f>
        <v/>
      </c>
      <c r="R164" s="22"/>
      <c r="S164" s="29" t="n">
        <f aca="false">IF(LEFT(Q164,4)="Send",1,0)</f>
        <v>0</v>
      </c>
      <c r="T164" s="29" t="str">
        <f aca="false">IF(S164=0,"",COUNTIFS($S$5:$S$204,1,$F$5:$F$204,"&lt;"&amp;F164)+COUNTIFS($S$5:$S164,1,$F$5:$F164,F164))</f>
        <v/>
      </c>
    </row>
    <row r="165" customFormat="false" ht="15" hidden="false" customHeight="false" outlineLevel="0" collapsed="false">
      <c r="A165" s="22"/>
      <c r="B165" s="22"/>
      <c r="C165" s="22"/>
      <c r="D165" s="26"/>
      <c r="E165" s="22"/>
      <c r="F165" s="28" t="str">
        <f aca="false">IF(D165="","",D165+IF(E165="",Settings!$C$7,E165))</f>
        <v/>
      </c>
      <c r="G165" s="23"/>
      <c r="H165" s="23"/>
      <c r="I165" s="26"/>
      <c r="J165" s="25" t="str">
        <f aca="false">IF(G165="","",G165-N(H165))</f>
        <v/>
      </c>
      <c r="K165" s="21" t="str">
        <f aca="false">IF(OR(G165="",F165=""),"",IF(J165&lt;=0,"Paid",IF(Settings!$C$6&lt;F165,IF(N(H165)&gt;0,"Part-paid","Not due"),IF(Settings!$C$6=F165,"Due today","Overdue"))))</f>
        <v/>
      </c>
      <c r="L165" s="27" t="str">
        <f aca="false">IF(OR(G165="",F165=""),"",IF(J165&lt;=0,"",MAX(0,Settings!$C$6-F165)))</f>
        <v/>
      </c>
      <c r="M165" s="31" t="str">
        <f aca="false">IF(OR(G165="",F165=""),"",IF(J165&lt;=0,"Paid",IF(Settings!$C$6&gt;=F165+Settings!$P$18,"E",IF(Settings!$C$6&gt;=F165+Settings!$P$17,"D",IF(Settings!$C$6&gt;=F165+Settings!$P$16,"C",IF(Settings!$C$6&gt;=F165+Settings!$P$15,"B",IF(Settings!$C$6&gt;=F165+Settings!$P$14,"A","—")))))))</f>
        <v/>
      </c>
      <c r="N165" s="28" t="str">
        <f aca="false">IF(OR(G165="",F165="",J165&lt;=0),"",IF(Settings!$C$6&lt;F165+Settings!$P$14,F165+Settings!$P$14,IF(Settings!$C$6&lt;F165+Settings!$P$15,F165+Settings!$P$15,IF(Settings!$C$6&lt;F165+Settings!$P$16,F165+Settings!$P$16,IF(Settings!$C$6&lt;F165+Settings!$P$17,F165+Settings!$P$17,IF(Settings!$C$6&lt;F165+Settings!$P$18,F165+Settings!$P$18,""))))))</f>
        <v/>
      </c>
      <c r="O165" s="22"/>
      <c r="P165" s="26"/>
      <c r="Q165" s="21" t="str">
        <f aca="false">IF(OR(M165="",M165="Paid",M165="—"),IF(M165="Paid","Paid ✓",""),IF(O165="","Send "&amp;M165&amp;" now",IF(CODE(M165)&gt;CODE(O165),"Send "&amp;M165&amp;" now","Up to date")))</f>
        <v/>
      </c>
      <c r="R165" s="22"/>
      <c r="S165" s="29" t="n">
        <f aca="false">IF(LEFT(Q165,4)="Send",1,0)</f>
        <v>0</v>
      </c>
      <c r="T165" s="29" t="str">
        <f aca="false">IF(S165=0,"",COUNTIFS($S$5:$S$204,1,$F$5:$F$204,"&lt;"&amp;F165)+COUNTIFS($S$5:$S165,1,$F$5:$F165,F165))</f>
        <v/>
      </c>
    </row>
    <row r="166" customFormat="false" ht="15" hidden="false" customHeight="false" outlineLevel="0" collapsed="false">
      <c r="A166" s="22"/>
      <c r="B166" s="22"/>
      <c r="C166" s="22"/>
      <c r="D166" s="26"/>
      <c r="E166" s="22"/>
      <c r="F166" s="28" t="str">
        <f aca="false">IF(D166="","",D166+IF(E166="",Settings!$C$7,E166))</f>
        <v/>
      </c>
      <c r="G166" s="23"/>
      <c r="H166" s="23"/>
      <c r="I166" s="26"/>
      <c r="J166" s="25" t="str">
        <f aca="false">IF(G166="","",G166-N(H166))</f>
        <v/>
      </c>
      <c r="K166" s="21" t="str">
        <f aca="false">IF(OR(G166="",F166=""),"",IF(J166&lt;=0,"Paid",IF(Settings!$C$6&lt;F166,IF(N(H166)&gt;0,"Part-paid","Not due"),IF(Settings!$C$6=F166,"Due today","Overdue"))))</f>
        <v/>
      </c>
      <c r="L166" s="27" t="str">
        <f aca="false">IF(OR(G166="",F166=""),"",IF(J166&lt;=0,"",MAX(0,Settings!$C$6-F166)))</f>
        <v/>
      </c>
      <c r="M166" s="31" t="str">
        <f aca="false">IF(OR(G166="",F166=""),"",IF(J166&lt;=0,"Paid",IF(Settings!$C$6&gt;=F166+Settings!$P$18,"E",IF(Settings!$C$6&gt;=F166+Settings!$P$17,"D",IF(Settings!$C$6&gt;=F166+Settings!$P$16,"C",IF(Settings!$C$6&gt;=F166+Settings!$P$15,"B",IF(Settings!$C$6&gt;=F166+Settings!$P$14,"A","—")))))))</f>
        <v/>
      </c>
      <c r="N166" s="28" t="str">
        <f aca="false">IF(OR(G166="",F166="",J166&lt;=0),"",IF(Settings!$C$6&lt;F166+Settings!$P$14,F166+Settings!$P$14,IF(Settings!$C$6&lt;F166+Settings!$P$15,F166+Settings!$P$15,IF(Settings!$C$6&lt;F166+Settings!$P$16,F166+Settings!$P$16,IF(Settings!$C$6&lt;F166+Settings!$P$17,F166+Settings!$P$17,IF(Settings!$C$6&lt;F166+Settings!$P$18,F166+Settings!$P$18,""))))))</f>
        <v/>
      </c>
      <c r="O166" s="22"/>
      <c r="P166" s="26"/>
      <c r="Q166" s="21" t="str">
        <f aca="false">IF(OR(M166="",M166="Paid",M166="—"),IF(M166="Paid","Paid ✓",""),IF(O166="","Send "&amp;M166&amp;" now",IF(CODE(M166)&gt;CODE(O166),"Send "&amp;M166&amp;" now","Up to date")))</f>
        <v/>
      </c>
      <c r="R166" s="22"/>
      <c r="S166" s="29" t="n">
        <f aca="false">IF(LEFT(Q166,4)="Send",1,0)</f>
        <v>0</v>
      </c>
      <c r="T166" s="29" t="str">
        <f aca="false">IF(S166=0,"",COUNTIFS($S$5:$S$204,1,$F$5:$F$204,"&lt;"&amp;F166)+COUNTIFS($S$5:$S166,1,$F$5:$F166,F166))</f>
        <v/>
      </c>
    </row>
    <row r="167" customFormat="false" ht="15" hidden="false" customHeight="false" outlineLevel="0" collapsed="false">
      <c r="A167" s="22"/>
      <c r="B167" s="22"/>
      <c r="C167" s="22"/>
      <c r="D167" s="26"/>
      <c r="E167" s="22"/>
      <c r="F167" s="28" t="str">
        <f aca="false">IF(D167="","",D167+IF(E167="",Settings!$C$7,E167))</f>
        <v/>
      </c>
      <c r="G167" s="23"/>
      <c r="H167" s="23"/>
      <c r="I167" s="26"/>
      <c r="J167" s="25" t="str">
        <f aca="false">IF(G167="","",G167-N(H167))</f>
        <v/>
      </c>
      <c r="K167" s="21" t="str">
        <f aca="false">IF(OR(G167="",F167=""),"",IF(J167&lt;=0,"Paid",IF(Settings!$C$6&lt;F167,IF(N(H167)&gt;0,"Part-paid","Not due"),IF(Settings!$C$6=F167,"Due today","Overdue"))))</f>
        <v/>
      </c>
      <c r="L167" s="27" t="str">
        <f aca="false">IF(OR(G167="",F167=""),"",IF(J167&lt;=0,"",MAX(0,Settings!$C$6-F167)))</f>
        <v/>
      </c>
      <c r="M167" s="31" t="str">
        <f aca="false">IF(OR(G167="",F167=""),"",IF(J167&lt;=0,"Paid",IF(Settings!$C$6&gt;=F167+Settings!$P$18,"E",IF(Settings!$C$6&gt;=F167+Settings!$P$17,"D",IF(Settings!$C$6&gt;=F167+Settings!$P$16,"C",IF(Settings!$C$6&gt;=F167+Settings!$P$15,"B",IF(Settings!$C$6&gt;=F167+Settings!$P$14,"A","—")))))))</f>
        <v/>
      </c>
      <c r="N167" s="28" t="str">
        <f aca="false">IF(OR(G167="",F167="",J167&lt;=0),"",IF(Settings!$C$6&lt;F167+Settings!$P$14,F167+Settings!$P$14,IF(Settings!$C$6&lt;F167+Settings!$P$15,F167+Settings!$P$15,IF(Settings!$C$6&lt;F167+Settings!$P$16,F167+Settings!$P$16,IF(Settings!$C$6&lt;F167+Settings!$P$17,F167+Settings!$P$17,IF(Settings!$C$6&lt;F167+Settings!$P$18,F167+Settings!$P$18,""))))))</f>
        <v/>
      </c>
      <c r="O167" s="22"/>
      <c r="P167" s="26"/>
      <c r="Q167" s="21" t="str">
        <f aca="false">IF(OR(M167="",M167="Paid",M167="—"),IF(M167="Paid","Paid ✓",""),IF(O167="","Send "&amp;M167&amp;" now",IF(CODE(M167)&gt;CODE(O167),"Send "&amp;M167&amp;" now","Up to date")))</f>
        <v/>
      </c>
      <c r="R167" s="22"/>
      <c r="S167" s="29" t="n">
        <f aca="false">IF(LEFT(Q167,4)="Send",1,0)</f>
        <v>0</v>
      </c>
      <c r="T167" s="29" t="str">
        <f aca="false">IF(S167=0,"",COUNTIFS($S$5:$S$204,1,$F$5:$F$204,"&lt;"&amp;F167)+COUNTIFS($S$5:$S167,1,$F$5:$F167,F167))</f>
        <v/>
      </c>
    </row>
    <row r="168" customFormat="false" ht="15" hidden="false" customHeight="false" outlineLevel="0" collapsed="false">
      <c r="A168" s="22"/>
      <c r="B168" s="22"/>
      <c r="C168" s="22"/>
      <c r="D168" s="26"/>
      <c r="E168" s="22"/>
      <c r="F168" s="28" t="str">
        <f aca="false">IF(D168="","",D168+IF(E168="",Settings!$C$7,E168))</f>
        <v/>
      </c>
      <c r="G168" s="23"/>
      <c r="H168" s="23"/>
      <c r="I168" s="26"/>
      <c r="J168" s="25" t="str">
        <f aca="false">IF(G168="","",G168-N(H168))</f>
        <v/>
      </c>
      <c r="K168" s="21" t="str">
        <f aca="false">IF(OR(G168="",F168=""),"",IF(J168&lt;=0,"Paid",IF(Settings!$C$6&lt;F168,IF(N(H168)&gt;0,"Part-paid","Not due"),IF(Settings!$C$6=F168,"Due today","Overdue"))))</f>
        <v/>
      </c>
      <c r="L168" s="27" t="str">
        <f aca="false">IF(OR(G168="",F168=""),"",IF(J168&lt;=0,"",MAX(0,Settings!$C$6-F168)))</f>
        <v/>
      </c>
      <c r="M168" s="31" t="str">
        <f aca="false">IF(OR(G168="",F168=""),"",IF(J168&lt;=0,"Paid",IF(Settings!$C$6&gt;=F168+Settings!$P$18,"E",IF(Settings!$C$6&gt;=F168+Settings!$P$17,"D",IF(Settings!$C$6&gt;=F168+Settings!$P$16,"C",IF(Settings!$C$6&gt;=F168+Settings!$P$15,"B",IF(Settings!$C$6&gt;=F168+Settings!$P$14,"A","—")))))))</f>
        <v/>
      </c>
      <c r="N168" s="28" t="str">
        <f aca="false">IF(OR(G168="",F168="",J168&lt;=0),"",IF(Settings!$C$6&lt;F168+Settings!$P$14,F168+Settings!$P$14,IF(Settings!$C$6&lt;F168+Settings!$P$15,F168+Settings!$P$15,IF(Settings!$C$6&lt;F168+Settings!$P$16,F168+Settings!$P$16,IF(Settings!$C$6&lt;F168+Settings!$P$17,F168+Settings!$P$17,IF(Settings!$C$6&lt;F168+Settings!$P$18,F168+Settings!$P$18,""))))))</f>
        <v/>
      </c>
      <c r="O168" s="22"/>
      <c r="P168" s="26"/>
      <c r="Q168" s="21" t="str">
        <f aca="false">IF(OR(M168="",M168="Paid",M168="—"),IF(M168="Paid","Paid ✓",""),IF(O168="","Send "&amp;M168&amp;" now",IF(CODE(M168)&gt;CODE(O168),"Send "&amp;M168&amp;" now","Up to date")))</f>
        <v/>
      </c>
      <c r="R168" s="22"/>
      <c r="S168" s="29" t="n">
        <f aca="false">IF(LEFT(Q168,4)="Send",1,0)</f>
        <v>0</v>
      </c>
      <c r="T168" s="29" t="str">
        <f aca="false">IF(S168=0,"",COUNTIFS($S$5:$S$204,1,$F$5:$F$204,"&lt;"&amp;F168)+COUNTIFS($S$5:$S168,1,$F$5:$F168,F168))</f>
        <v/>
      </c>
    </row>
    <row r="169" customFormat="false" ht="15" hidden="false" customHeight="false" outlineLevel="0" collapsed="false">
      <c r="A169" s="22"/>
      <c r="B169" s="22"/>
      <c r="C169" s="22"/>
      <c r="D169" s="26"/>
      <c r="E169" s="22"/>
      <c r="F169" s="28" t="str">
        <f aca="false">IF(D169="","",D169+IF(E169="",Settings!$C$7,E169))</f>
        <v/>
      </c>
      <c r="G169" s="23"/>
      <c r="H169" s="23"/>
      <c r="I169" s="26"/>
      <c r="J169" s="25" t="str">
        <f aca="false">IF(G169="","",G169-N(H169))</f>
        <v/>
      </c>
      <c r="K169" s="21" t="str">
        <f aca="false">IF(OR(G169="",F169=""),"",IF(J169&lt;=0,"Paid",IF(Settings!$C$6&lt;F169,IF(N(H169)&gt;0,"Part-paid","Not due"),IF(Settings!$C$6=F169,"Due today","Overdue"))))</f>
        <v/>
      </c>
      <c r="L169" s="27" t="str">
        <f aca="false">IF(OR(G169="",F169=""),"",IF(J169&lt;=0,"",MAX(0,Settings!$C$6-F169)))</f>
        <v/>
      </c>
      <c r="M169" s="31" t="str">
        <f aca="false">IF(OR(G169="",F169=""),"",IF(J169&lt;=0,"Paid",IF(Settings!$C$6&gt;=F169+Settings!$P$18,"E",IF(Settings!$C$6&gt;=F169+Settings!$P$17,"D",IF(Settings!$C$6&gt;=F169+Settings!$P$16,"C",IF(Settings!$C$6&gt;=F169+Settings!$P$15,"B",IF(Settings!$C$6&gt;=F169+Settings!$P$14,"A","—")))))))</f>
        <v/>
      </c>
      <c r="N169" s="28" t="str">
        <f aca="false">IF(OR(G169="",F169="",J169&lt;=0),"",IF(Settings!$C$6&lt;F169+Settings!$P$14,F169+Settings!$P$14,IF(Settings!$C$6&lt;F169+Settings!$P$15,F169+Settings!$P$15,IF(Settings!$C$6&lt;F169+Settings!$P$16,F169+Settings!$P$16,IF(Settings!$C$6&lt;F169+Settings!$P$17,F169+Settings!$P$17,IF(Settings!$C$6&lt;F169+Settings!$P$18,F169+Settings!$P$18,""))))))</f>
        <v/>
      </c>
      <c r="O169" s="22"/>
      <c r="P169" s="26"/>
      <c r="Q169" s="21" t="str">
        <f aca="false">IF(OR(M169="",M169="Paid",M169="—"),IF(M169="Paid","Paid ✓",""),IF(O169="","Send "&amp;M169&amp;" now",IF(CODE(M169)&gt;CODE(O169),"Send "&amp;M169&amp;" now","Up to date")))</f>
        <v/>
      </c>
      <c r="R169" s="22"/>
      <c r="S169" s="29" t="n">
        <f aca="false">IF(LEFT(Q169,4)="Send",1,0)</f>
        <v>0</v>
      </c>
      <c r="T169" s="29" t="str">
        <f aca="false">IF(S169=0,"",COUNTIFS($S$5:$S$204,1,$F$5:$F$204,"&lt;"&amp;F169)+COUNTIFS($S$5:$S169,1,$F$5:$F169,F169))</f>
        <v/>
      </c>
    </row>
    <row r="170" customFormat="false" ht="15" hidden="false" customHeight="false" outlineLevel="0" collapsed="false">
      <c r="A170" s="22"/>
      <c r="B170" s="22"/>
      <c r="C170" s="22"/>
      <c r="D170" s="26"/>
      <c r="E170" s="22"/>
      <c r="F170" s="28" t="str">
        <f aca="false">IF(D170="","",D170+IF(E170="",Settings!$C$7,E170))</f>
        <v/>
      </c>
      <c r="G170" s="23"/>
      <c r="H170" s="23"/>
      <c r="I170" s="26"/>
      <c r="J170" s="25" t="str">
        <f aca="false">IF(G170="","",G170-N(H170))</f>
        <v/>
      </c>
      <c r="K170" s="21" t="str">
        <f aca="false">IF(OR(G170="",F170=""),"",IF(J170&lt;=0,"Paid",IF(Settings!$C$6&lt;F170,IF(N(H170)&gt;0,"Part-paid","Not due"),IF(Settings!$C$6=F170,"Due today","Overdue"))))</f>
        <v/>
      </c>
      <c r="L170" s="27" t="str">
        <f aca="false">IF(OR(G170="",F170=""),"",IF(J170&lt;=0,"",MAX(0,Settings!$C$6-F170)))</f>
        <v/>
      </c>
      <c r="M170" s="31" t="str">
        <f aca="false">IF(OR(G170="",F170=""),"",IF(J170&lt;=0,"Paid",IF(Settings!$C$6&gt;=F170+Settings!$P$18,"E",IF(Settings!$C$6&gt;=F170+Settings!$P$17,"D",IF(Settings!$C$6&gt;=F170+Settings!$P$16,"C",IF(Settings!$C$6&gt;=F170+Settings!$P$15,"B",IF(Settings!$C$6&gt;=F170+Settings!$P$14,"A","—")))))))</f>
        <v/>
      </c>
      <c r="N170" s="28" t="str">
        <f aca="false">IF(OR(G170="",F170="",J170&lt;=0),"",IF(Settings!$C$6&lt;F170+Settings!$P$14,F170+Settings!$P$14,IF(Settings!$C$6&lt;F170+Settings!$P$15,F170+Settings!$P$15,IF(Settings!$C$6&lt;F170+Settings!$P$16,F170+Settings!$P$16,IF(Settings!$C$6&lt;F170+Settings!$P$17,F170+Settings!$P$17,IF(Settings!$C$6&lt;F170+Settings!$P$18,F170+Settings!$P$18,""))))))</f>
        <v/>
      </c>
      <c r="O170" s="22"/>
      <c r="P170" s="26"/>
      <c r="Q170" s="21" t="str">
        <f aca="false">IF(OR(M170="",M170="Paid",M170="—"),IF(M170="Paid","Paid ✓",""),IF(O170="","Send "&amp;M170&amp;" now",IF(CODE(M170)&gt;CODE(O170),"Send "&amp;M170&amp;" now","Up to date")))</f>
        <v/>
      </c>
      <c r="R170" s="22"/>
      <c r="S170" s="29" t="n">
        <f aca="false">IF(LEFT(Q170,4)="Send",1,0)</f>
        <v>0</v>
      </c>
      <c r="T170" s="29" t="str">
        <f aca="false">IF(S170=0,"",COUNTIFS($S$5:$S$204,1,$F$5:$F$204,"&lt;"&amp;F170)+COUNTIFS($S$5:$S170,1,$F$5:$F170,F170))</f>
        <v/>
      </c>
    </row>
    <row r="171" customFormat="false" ht="15" hidden="false" customHeight="false" outlineLevel="0" collapsed="false">
      <c r="A171" s="22"/>
      <c r="B171" s="22"/>
      <c r="C171" s="22"/>
      <c r="D171" s="26"/>
      <c r="E171" s="22"/>
      <c r="F171" s="28" t="str">
        <f aca="false">IF(D171="","",D171+IF(E171="",Settings!$C$7,E171))</f>
        <v/>
      </c>
      <c r="G171" s="23"/>
      <c r="H171" s="23"/>
      <c r="I171" s="26"/>
      <c r="J171" s="25" t="str">
        <f aca="false">IF(G171="","",G171-N(H171))</f>
        <v/>
      </c>
      <c r="K171" s="21" t="str">
        <f aca="false">IF(OR(G171="",F171=""),"",IF(J171&lt;=0,"Paid",IF(Settings!$C$6&lt;F171,IF(N(H171)&gt;0,"Part-paid","Not due"),IF(Settings!$C$6=F171,"Due today","Overdue"))))</f>
        <v/>
      </c>
      <c r="L171" s="27" t="str">
        <f aca="false">IF(OR(G171="",F171=""),"",IF(J171&lt;=0,"",MAX(0,Settings!$C$6-F171)))</f>
        <v/>
      </c>
      <c r="M171" s="31" t="str">
        <f aca="false">IF(OR(G171="",F171=""),"",IF(J171&lt;=0,"Paid",IF(Settings!$C$6&gt;=F171+Settings!$P$18,"E",IF(Settings!$C$6&gt;=F171+Settings!$P$17,"D",IF(Settings!$C$6&gt;=F171+Settings!$P$16,"C",IF(Settings!$C$6&gt;=F171+Settings!$P$15,"B",IF(Settings!$C$6&gt;=F171+Settings!$P$14,"A","—")))))))</f>
        <v/>
      </c>
      <c r="N171" s="28" t="str">
        <f aca="false">IF(OR(G171="",F171="",J171&lt;=0),"",IF(Settings!$C$6&lt;F171+Settings!$P$14,F171+Settings!$P$14,IF(Settings!$C$6&lt;F171+Settings!$P$15,F171+Settings!$P$15,IF(Settings!$C$6&lt;F171+Settings!$P$16,F171+Settings!$P$16,IF(Settings!$C$6&lt;F171+Settings!$P$17,F171+Settings!$P$17,IF(Settings!$C$6&lt;F171+Settings!$P$18,F171+Settings!$P$18,""))))))</f>
        <v/>
      </c>
      <c r="O171" s="22"/>
      <c r="P171" s="26"/>
      <c r="Q171" s="21" t="str">
        <f aca="false">IF(OR(M171="",M171="Paid",M171="—"),IF(M171="Paid","Paid ✓",""),IF(O171="","Send "&amp;M171&amp;" now",IF(CODE(M171)&gt;CODE(O171),"Send "&amp;M171&amp;" now","Up to date")))</f>
        <v/>
      </c>
      <c r="R171" s="22"/>
      <c r="S171" s="29" t="n">
        <f aca="false">IF(LEFT(Q171,4)="Send",1,0)</f>
        <v>0</v>
      </c>
      <c r="T171" s="29" t="str">
        <f aca="false">IF(S171=0,"",COUNTIFS($S$5:$S$204,1,$F$5:$F$204,"&lt;"&amp;F171)+COUNTIFS($S$5:$S171,1,$F$5:$F171,F171))</f>
        <v/>
      </c>
    </row>
    <row r="172" customFormat="false" ht="15" hidden="false" customHeight="false" outlineLevel="0" collapsed="false">
      <c r="A172" s="22"/>
      <c r="B172" s="22"/>
      <c r="C172" s="22"/>
      <c r="D172" s="26"/>
      <c r="E172" s="22"/>
      <c r="F172" s="28" t="str">
        <f aca="false">IF(D172="","",D172+IF(E172="",Settings!$C$7,E172))</f>
        <v/>
      </c>
      <c r="G172" s="23"/>
      <c r="H172" s="23"/>
      <c r="I172" s="26"/>
      <c r="J172" s="25" t="str">
        <f aca="false">IF(G172="","",G172-N(H172))</f>
        <v/>
      </c>
      <c r="K172" s="21" t="str">
        <f aca="false">IF(OR(G172="",F172=""),"",IF(J172&lt;=0,"Paid",IF(Settings!$C$6&lt;F172,IF(N(H172)&gt;0,"Part-paid","Not due"),IF(Settings!$C$6=F172,"Due today","Overdue"))))</f>
        <v/>
      </c>
      <c r="L172" s="27" t="str">
        <f aca="false">IF(OR(G172="",F172=""),"",IF(J172&lt;=0,"",MAX(0,Settings!$C$6-F172)))</f>
        <v/>
      </c>
      <c r="M172" s="31" t="str">
        <f aca="false">IF(OR(G172="",F172=""),"",IF(J172&lt;=0,"Paid",IF(Settings!$C$6&gt;=F172+Settings!$P$18,"E",IF(Settings!$C$6&gt;=F172+Settings!$P$17,"D",IF(Settings!$C$6&gt;=F172+Settings!$P$16,"C",IF(Settings!$C$6&gt;=F172+Settings!$P$15,"B",IF(Settings!$C$6&gt;=F172+Settings!$P$14,"A","—")))))))</f>
        <v/>
      </c>
      <c r="N172" s="28" t="str">
        <f aca="false">IF(OR(G172="",F172="",J172&lt;=0),"",IF(Settings!$C$6&lt;F172+Settings!$P$14,F172+Settings!$P$14,IF(Settings!$C$6&lt;F172+Settings!$P$15,F172+Settings!$P$15,IF(Settings!$C$6&lt;F172+Settings!$P$16,F172+Settings!$P$16,IF(Settings!$C$6&lt;F172+Settings!$P$17,F172+Settings!$P$17,IF(Settings!$C$6&lt;F172+Settings!$P$18,F172+Settings!$P$18,""))))))</f>
        <v/>
      </c>
      <c r="O172" s="22"/>
      <c r="P172" s="26"/>
      <c r="Q172" s="21" t="str">
        <f aca="false">IF(OR(M172="",M172="Paid",M172="—"),IF(M172="Paid","Paid ✓",""),IF(O172="","Send "&amp;M172&amp;" now",IF(CODE(M172)&gt;CODE(O172),"Send "&amp;M172&amp;" now","Up to date")))</f>
        <v/>
      </c>
      <c r="R172" s="22"/>
      <c r="S172" s="29" t="n">
        <f aca="false">IF(LEFT(Q172,4)="Send",1,0)</f>
        <v>0</v>
      </c>
      <c r="T172" s="29" t="str">
        <f aca="false">IF(S172=0,"",COUNTIFS($S$5:$S$204,1,$F$5:$F$204,"&lt;"&amp;F172)+COUNTIFS($S$5:$S172,1,$F$5:$F172,F172))</f>
        <v/>
      </c>
    </row>
    <row r="173" customFormat="false" ht="15" hidden="false" customHeight="false" outlineLevel="0" collapsed="false">
      <c r="A173" s="22"/>
      <c r="B173" s="22"/>
      <c r="C173" s="22"/>
      <c r="D173" s="26"/>
      <c r="E173" s="22"/>
      <c r="F173" s="28" t="str">
        <f aca="false">IF(D173="","",D173+IF(E173="",Settings!$C$7,E173))</f>
        <v/>
      </c>
      <c r="G173" s="23"/>
      <c r="H173" s="23"/>
      <c r="I173" s="26"/>
      <c r="J173" s="25" t="str">
        <f aca="false">IF(G173="","",G173-N(H173))</f>
        <v/>
      </c>
      <c r="K173" s="21" t="str">
        <f aca="false">IF(OR(G173="",F173=""),"",IF(J173&lt;=0,"Paid",IF(Settings!$C$6&lt;F173,IF(N(H173)&gt;0,"Part-paid","Not due"),IF(Settings!$C$6=F173,"Due today","Overdue"))))</f>
        <v/>
      </c>
      <c r="L173" s="27" t="str">
        <f aca="false">IF(OR(G173="",F173=""),"",IF(J173&lt;=0,"",MAX(0,Settings!$C$6-F173)))</f>
        <v/>
      </c>
      <c r="M173" s="31" t="str">
        <f aca="false">IF(OR(G173="",F173=""),"",IF(J173&lt;=0,"Paid",IF(Settings!$C$6&gt;=F173+Settings!$P$18,"E",IF(Settings!$C$6&gt;=F173+Settings!$P$17,"D",IF(Settings!$C$6&gt;=F173+Settings!$P$16,"C",IF(Settings!$C$6&gt;=F173+Settings!$P$15,"B",IF(Settings!$C$6&gt;=F173+Settings!$P$14,"A","—")))))))</f>
        <v/>
      </c>
      <c r="N173" s="28" t="str">
        <f aca="false">IF(OR(G173="",F173="",J173&lt;=0),"",IF(Settings!$C$6&lt;F173+Settings!$P$14,F173+Settings!$P$14,IF(Settings!$C$6&lt;F173+Settings!$P$15,F173+Settings!$P$15,IF(Settings!$C$6&lt;F173+Settings!$P$16,F173+Settings!$P$16,IF(Settings!$C$6&lt;F173+Settings!$P$17,F173+Settings!$P$17,IF(Settings!$C$6&lt;F173+Settings!$P$18,F173+Settings!$P$18,""))))))</f>
        <v/>
      </c>
      <c r="O173" s="22"/>
      <c r="P173" s="26"/>
      <c r="Q173" s="21" t="str">
        <f aca="false">IF(OR(M173="",M173="Paid",M173="—"),IF(M173="Paid","Paid ✓",""),IF(O173="","Send "&amp;M173&amp;" now",IF(CODE(M173)&gt;CODE(O173),"Send "&amp;M173&amp;" now","Up to date")))</f>
        <v/>
      </c>
      <c r="R173" s="22"/>
      <c r="S173" s="29" t="n">
        <f aca="false">IF(LEFT(Q173,4)="Send",1,0)</f>
        <v>0</v>
      </c>
      <c r="T173" s="29" t="str">
        <f aca="false">IF(S173=0,"",COUNTIFS($S$5:$S$204,1,$F$5:$F$204,"&lt;"&amp;F173)+COUNTIFS($S$5:$S173,1,$F$5:$F173,F173))</f>
        <v/>
      </c>
    </row>
    <row r="174" customFormat="false" ht="15" hidden="false" customHeight="false" outlineLevel="0" collapsed="false">
      <c r="A174" s="22"/>
      <c r="B174" s="22"/>
      <c r="C174" s="22"/>
      <c r="D174" s="26"/>
      <c r="E174" s="22"/>
      <c r="F174" s="28" t="str">
        <f aca="false">IF(D174="","",D174+IF(E174="",Settings!$C$7,E174))</f>
        <v/>
      </c>
      <c r="G174" s="23"/>
      <c r="H174" s="23"/>
      <c r="I174" s="26"/>
      <c r="J174" s="25" t="str">
        <f aca="false">IF(G174="","",G174-N(H174))</f>
        <v/>
      </c>
      <c r="K174" s="21" t="str">
        <f aca="false">IF(OR(G174="",F174=""),"",IF(J174&lt;=0,"Paid",IF(Settings!$C$6&lt;F174,IF(N(H174)&gt;0,"Part-paid","Not due"),IF(Settings!$C$6=F174,"Due today","Overdue"))))</f>
        <v/>
      </c>
      <c r="L174" s="27" t="str">
        <f aca="false">IF(OR(G174="",F174=""),"",IF(J174&lt;=0,"",MAX(0,Settings!$C$6-F174)))</f>
        <v/>
      </c>
      <c r="M174" s="31" t="str">
        <f aca="false">IF(OR(G174="",F174=""),"",IF(J174&lt;=0,"Paid",IF(Settings!$C$6&gt;=F174+Settings!$P$18,"E",IF(Settings!$C$6&gt;=F174+Settings!$P$17,"D",IF(Settings!$C$6&gt;=F174+Settings!$P$16,"C",IF(Settings!$C$6&gt;=F174+Settings!$P$15,"B",IF(Settings!$C$6&gt;=F174+Settings!$P$14,"A","—")))))))</f>
        <v/>
      </c>
      <c r="N174" s="28" t="str">
        <f aca="false">IF(OR(G174="",F174="",J174&lt;=0),"",IF(Settings!$C$6&lt;F174+Settings!$P$14,F174+Settings!$P$14,IF(Settings!$C$6&lt;F174+Settings!$P$15,F174+Settings!$P$15,IF(Settings!$C$6&lt;F174+Settings!$P$16,F174+Settings!$P$16,IF(Settings!$C$6&lt;F174+Settings!$P$17,F174+Settings!$P$17,IF(Settings!$C$6&lt;F174+Settings!$P$18,F174+Settings!$P$18,""))))))</f>
        <v/>
      </c>
      <c r="O174" s="22"/>
      <c r="P174" s="26"/>
      <c r="Q174" s="21" t="str">
        <f aca="false">IF(OR(M174="",M174="Paid",M174="—"),IF(M174="Paid","Paid ✓",""),IF(O174="","Send "&amp;M174&amp;" now",IF(CODE(M174)&gt;CODE(O174),"Send "&amp;M174&amp;" now","Up to date")))</f>
        <v/>
      </c>
      <c r="R174" s="22"/>
      <c r="S174" s="29" t="n">
        <f aca="false">IF(LEFT(Q174,4)="Send",1,0)</f>
        <v>0</v>
      </c>
      <c r="T174" s="29" t="str">
        <f aca="false">IF(S174=0,"",COUNTIFS($S$5:$S$204,1,$F$5:$F$204,"&lt;"&amp;F174)+COUNTIFS($S$5:$S174,1,$F$5:$F174,F174))</f>
        <v/>
      </c>
    </row>
    <row r="175" customFormat="false" ht="15" hidden="false" customHeight="false" outlineLevel="0" collapsed="false">
      <c r="A175" s="22"/>
      <c r="B175" s="22"/>
      <c r="C175" s="22"/>
      <c r="D175" s="26"/>
      <c r="E175" s="22"/>
      <c r="F175" s="28" t="str">
        <f aca="false">IF(D175="","",D175+IF(E175="",Settings!$C$7,E175))</f>
        <v/>
      </c>
      <c r="G175" s="23"/>
      <c r="H175" s="23"/>
      <c r="I175" s="26"/>
      <c r="J175" s="25" t="str">
        <f aca="false">IF(G175="","",G175-N(H175))</f>
        <v/>
      </c>
      <c r="K175" s="21" t="str">
        <f aca="false">IF(OR(G175="",F175=""),"",IF(J175&lt;=0,"Paid",IF(Settings!$C$6&lt;F175,IF(N(H175)&gt;0,"Part-paid","Not due"),IF(Settings!$C$6=F175,"Due today","Overdue"))))</f>
        <v/>
      </c>
      <c r="L175" s="27" t="str">
        <f aca="false">IF(OR(G175="",F175=""),"",IF(J175&lt;=0,"",MAX(0,Settings!$C$6-F175)))</f>
        <v/>
      </c>
      <c r="M175" s="31" t="str">
        <f aca="false">IF(OR(G175="",F175=""),"",IF(J175&lt;=0,"Paid",IF(Settings!$C$6&gt;=F175+Settings!$P$18,"E",IF(Settings!$C$6&gt;=F175+Settings!$P$17,"D",IF(Settings!$C$6&gt;=F175+Settings!$P$16,"C",IF(Settings!$C$6&gt;=F175+Settings!$P$15,"B",IF(Settings!$C$6&gt;=F175+Settings!$P$14,"A","—")))))))</f>
        <v/>
      </c>
      <c r="N175" s="28" t="str">
        <f aca="false">IF(OR(G175="",F175="",J175&lt;=0),"",IF(Settings!$C$6&lt;F175+Settings!$P$14,F175+Settings!$P$14,IF(Settings!$C$6&lt;F175+Settings!$P$15,F175+Settings!$P$15,IF(Settings!$C$6&lt;F175+Settings!$P$16,F175+Settings!$P$16,IF(Settings!$C$6&lt;F175+Settings!$P$17,F175+Settings!$P$17,IF(Settings!$C$6&lt;F175+Settings!$P$18,F175+Settings!$P$18,""))))))</f>
        <v/>
      </c>
      <c r="O175" s="22"/>
      <c r="P175" s="26"/>
      <c r="Q175" s="21" t="str">
        <f aca="false">IF(OR(M175="",M175="Paid",M175="—"),IF(M175="Paid","Paid ✓",""),IF(O175="","Send "&amp;M175&amp;" now",IF(CODE(M175)&gt;CODE(O175),"Send "&amp;M175&amp;" now","Up to date")))</f>
        <v/>
      </c>
      <c r="R175" s="22"/>
      <c r="S175" s="29" t="n">
        <f aca="false">IF(LEFT(Q175,4)="Send",1,0)</f>
        <v>0</v>
      </c>
      <c r="T175" s="29" t="str">
        <f aca="false">IF(S175=0,"",COUNTIFS($S$5:$S$204,1,$F$5:$F$204,"&lt;"&amp;F175)+COUNTIFS($S$5:$S175,1,$F$5:$F175,F175))</f>
        <v/>
      </c>
    </row>
    <row r="176" customFormat="false" ht="15" hidden="false" customHeight="false" outlineLevel="0" collapsed="false">
      <c r="A176" s="22"/>
      <c r="B176" s="22"/>
      <c r="C176" s="22"/>
      <c r="D176" s="26"/>
      <c r="E176" s="22"/>
      <c r="F176" s="28" t="str">
        <f aca="false">IF(D176="","",D176+IF(E176="",Settings!$C$7,E176))</f>
        <v/>
      </c>
      <c r="G176" s="23"/>
      <c r="H176" s="23"/>
      <c r="I176" s="26"/>
      <c r="J176" s="25" t="str">
        <f aca="false">IF(G176="","",G176-N(H176))</f>
        <v/>
      </c>
      <c r="K176" s="21" t="str">
        <f aca="false">IF(OR(G176="",F176=""),"",IF(J176&lt;=0,"Paid",IF(Settings!$C$6&lt;F176,IF(N(H176)&gt;0,"Part-paid","Not due"),IF(Settings!$C$6=F176,"Due today","Overdue"))))</f>
        <v/>
      </c>
      <c r="L176" s="27" t="str">
        <f aca="false">IF(OR(G176="",F176=""),"",IF(J176&lt;=0,"",MAX(0,Settings!$C$6-F176)))</f>
        <v/>
      </c>
      <c r="M176" s="31" t="str">
        <f aca="false">IF(OR(G176="",F176=""),"",IF(J176&lt;=0,"Paid",IF(Settings!$C$6&gt;=F176+Settings!$P$18,"E",IF(Settings!$C$6&gt;=F176+Settings!$P$17,"D",IF(Settings!$C$6&gt;=F176+Settings!$P$16,"C",IF(Settings!$C$6&gt;=F176+Settings!$P$15,"B",IF(Settings!$C$6&gt;=F176+Settings!$P$14,"A","—")))))))</f>
        <v/>
      </c>
      <c r="N176" s="28" t="str">
        <f aca="false">IF(OR(G176="",F176="",J176&lt;=0),"",IF(Settings!$C$6&lt;F176+Settings!$P$14,F176+Settings!$P$14,IF(Settings!$C$6&lt;F176+Settings!$P$15,F176+Settings!$P$15,IF(Settings!$C$6&lt;F176+Settings!$P$16,F176+Settings!$P$16,IF(Settings!$C$6&lt;F176+Settings!$P$17,F176+Settings!$P$17,IF(Settings!$C$6&lt;F176+Settings!$P$18,F176+Settings!$P$18,""))))))</f>
        <v/>
      </c>
      <c r="O176" s="22"/>
      <c r="P176" s="26"/>
      <c r="Q176" s="21" t="str">
        <f aca="false">IF(OR(M176="",M176="Paid",M176="—"),IF(M176="Paid","Paid ✓",""),IF(O176="","Send "&amp;M176&amp;" now",IF(CODE(M176)&gt;CODE(O176),"Send "&amp;M176&amp;" now","Up to date")))</f>
        <v/>
      </c>
      <c r="R176" s="22"/>
      <c r="S176" s="29" t="n">
        <f aca="false">IF(LEFT(Q176,4)="Send",1,0)</f>
        <v>0</v>
      </c>
      <c r="T176" s="29" t="str">
        <f aca="false">IF(S176=0,"",COUNTIFS($S$5:$S$204,1,$F$5:$F$204,"&lt;"&amp;F176)+COUNTIFS($S$5:$S176,1,$F$5:$F176,F176))</f>
        <v/>
      </c>
    </row>
    <row r="177" customFormat="false" ht="15" hidden="false" customHeight="false" outlineLevel="0" collapsed="false">
      <c r="A177" s="22"/>
      <c r="B177" s="22"/>
      <c r="C177" s="22"/>
      <c r="D177" s="26"/>
      <c r="E177" s="22"/>
      <c r="F177" s="28" t="str">
        <f aca="false">IF(D177="","",D177+IF(E177="",Settings!$C$7,E177))</f>
        <v/>
      </c>
      <c r="G177" s="23"/>
      <c r="H177" s="23"/>
      <c r="I177" s="26"/>
      <c r="J177" s="25" t="str">
        <f aca="false">IF(G177="","",G177-N(H177))</f>
        <v/>
      </c>
      <c r="K177" s="21" t="str">
        <f aca="false">IF(OR(G177="",F177=""),"",IF(J177&lt;=0,"Paid",IF(Settings!$C$6&lt;F177,IF(N(H177)&gt;0,"Part-paid","Not due"),IF(Settings!$C$6=F177,"Due today","Overdue"))))</f>
        <v/>
      </c>
      <c r="L177" s="27" t="str">
        <f aca="false">IF(OR(G177="",F177=""),"",IF(J177&lt;=0,"",MAX(0,Settings!$C$6-F177)))</f>
        <v/>
      </c>
      <c r="M177" s="31" t="str">
        <f aca="false">IF(OR(G177="",F177=""),"",IF(J177&lt;=0,"Paid",IF(Settings!$C$6&gt;=F177+Settings!$P$18,"E",IF(Settings!$C$6&gt;=F177+Settings!$P$17,"D",IF(Settings!$C$6&gt;=F177+Settings!$P$16,"C",IF(Settings!$C$6&gt;=F177+Settings!$P$15,"B",IF(Settings!$C$6&gt;=F177+Settings!$P$14,"A","—")))))))</f>
        <v/>
      </c>
      <c r="N177" s="28" t="str">
        <f aca="false">IF(OR(G177="",F177="",J177&lt;=0),"",IF(Settings!$C$6&lt;F177+Settings!$P$14,F177+Settings!$P$14,IF(Settings!$C$6&lt;F177+Settings!$P$15,F177+Settings!$P$15,IF(Settings!$C$6&lt;F177+Settings!$P$16,F177+Settings!$P$16,IF(Settings!$C$6&lt;F177+Settings!$P$17,F177+Settings!$P$17,IF(Settings!$C$6&lt;F177+Settings!$P$18,F177+Settings!$P$18,""))))))</f>
        <v/>
      </c>
      <c r="O177" s="22"/>
      <c r="P177" s="26"/>
      <c r="Q177" s="21" t="str">
        <f aca="false">IF(OR(M177="",M177="Paid",M177="—"),IF(M177="Paid","Paid ✓",""),IF(O177="","Send "&amp;M177&amp;" now",IF(CODE(M177)&gt;CODE(O177),"Send "&amp;M177&amp;" now","Up to date")))</f>
        <v/>
      </c>
      <c r="R177" s="22"/>
      <c r="S177" s="29" t="n">
        <f aca="false">IF(LEFT(Q177,4)="Send",1,0)</f>
        <v>0</v>
      </c>
      <c r="T177" s="29" t="str">
        <f aca="false">IF(S177=0,"",COUNTIFS($S$5:$S$204,1,$F$5:$F$204,"&lt;"&amp;F177)+COUNTIFS($S$5:$S177,1,$F$5:$F177,F177))</f>
        <v/>
      </c>
    </row>
    <row r="178" customFormat="false" ht="15" hidden="false" customHeight="false" outlineLevel="0" collapsed="false">
      <c r="A178" s="22"/>
      <c r="B178" s="22"/>
      <c r="C178" s="22"/>
      <c r="D178" s="26"/>
      <c r="E178" s="22"/>
      <c r="F178" s="28" t="str">
        <f aca="false">IF(D178="","",D178+IF(E178="",Settings!$C$7,E178))</f>
        <v/>
      </c>
      <c r="G178" s="23"/>
      <c r="H178" s="23"/>
      <c r="I178" s="26"/>
      <c r="J178" s="25" t="str">
        <f aca="false">IF(G178="","",G178-N(H178))</f>
        <v/>
      </c>
      <c r="K178" s="21" t="str">
        <f aca="false">IF(OR(G178="",F178=""),"",IF(J178&lt;=0,"Paid",IF(Settings!$C$6&lt;F178,IF(N(H178)&gt;0,"Part-paid","Not due"),IF(Settings!$C$6=F178,"Due today","Overdue"))))</f>
        <v/>
      </c>
      <c r="L178" s="27" t="str">
        <f aca="false">IF(OR(G178="",F178=""),"",IF(J178&lt;=0,"",MAX(0,Settings!$C$6-F178)))</f>
        <v/>
      </c>
      <c r="M178" s="31" t="str">
        <f aca="false">IF(OR(G178="",F178=""),"",IF(J178&lt;=0,"Paid",IF(Settings!$C$6&gt;=F178+Settings!$P$18,"E",IF(Settings!$C$6&gt;=F178+Settings!$P$17,"D",IF(Settings!$C$6&gt;=F178+Settings!$P$16,"C",IF(Settings!$C$6&gt;=F178+Settings!$P$15,"B",IF(Settings!$C$6&gt;=F178+Settings!$P$14,"A","—")))))))</f>
        <v/>
      </c>
      <c r="N178" s="28" t="str">
        <f aca="false">IF(OR(G178="",F178="",J178&lt;=0),"",IF(Settings!$C$6&lt;F178+Settings!$P$14,F178+Settings!$P$14,IF(Settings!$C$6&lt;F178+Settings!$P$15,F178+Settings!$P$15,IF(Settings!$C$6&lt;F178+Settings!$P$16,F178+Settings!$P$16,IF(Settings!$C$6&lt;F178+Settings!$P$17,F178+Settings!$P$17,IF(Settings!$C$6&lt;F178+Settings!$P$18,F178+Settings!$P$18,""))))))</f>
        <v/>
      </c>
      <c r="O178" s="22"/>
      <c r="P178" s="26"/>
      <c r="Q178" s="21" t="str">
        <f aca="false">IF(OR(M178="",M178="Paid",M178="—"),IF(M178="Paid","Paid ✓",""),IF(O178="","Send "&amp;M178&amp;" now",IF(CODE(M178)&gt;CODE(O178),"Send "&amp;M178&amp;" now","Up to date")))</f>
        <v/>
      </c>
      <c r="R178" s="22"/>
      <c r="S178" s="29" t="n">
        <f aca="false">IF(LEFT(Q178,4)="Send",1,0)</f>
        <v>0</v>
      </c>
      <c r="T178" s="29" t="str">
        <f aca="false">IF(S178=0,"",COUNTIFS($S$5:$S$204,1,$F$5:$F$204,"&lt;"&amp;F178)+COUNTIFS($S$5:$S178,1,$F$5:$F178,F178))</f>
        <v/>
      </c>
    </row>
    <row r="179" customFormat="false" ht="15" hidden="false" customHeight="false" outlineLevel="0" collapsed="false">
      <c r="A179" s="22"/>
      <c r="B179" s="22"/>
      <c r="C179" s="22"/>
      <c r="D179" s="26"/>
      <c r="E179" s="22"/>
      <c r="F179" s="28" t="str">
        <f aca="false">IF(D179="","",D179+IF(E179="",Settings!$C$7,E179))</f>
        <v/>
      </c>
      <c r="G179" s="23"/>
      <c r="H179" s="23"/>
      <c r="I179" s="26"/>
      <c r="J179" s="25" t="str">
        <f aca="false">IF(G179="","",G179-N(H179))</f>
        <v/>
      </c>
      <c r="K179" s="21" t="str">
        <f aca="false">IF(OR(G179="",F179=""),"",IF(J179&lt;=0,"Paid",IF(Settings!$C$6&lt;F179,IF(N(H179)&gt;0,"Part-paid","Not due"),IF(Settings!$C$6=F179,"Due today","Overdue"))))</f>
        <v/>
      </c>
      <c r="L179" s="27" t="str">
        <f aca="false">IF(OR(G179="",F179=""),"",IF(J179&lt;=0,"",MAX(0,Settings!$C$6-F179)))</f>
        <v/>
      </c>
      <c r="M179" s="31" t="str">
        <f aca="false">IF(OR(G179="",F179=""),"",IF(J179&lt;=0,"Paid",IF(Settings!$C$6&gt;=F179+Settings!$P$18,"E",IF(Settings!$C$6&gt;=F179+Settings!$P$17,"D",IF(Settings!$C$6&gt;=F179+Settings!$P$16,"C",IF(Settings!$C$6&gt;=F179+Settings!$P$15,"B",IF(Settings!$C$6&gt;=F179+Settings!$P$14,"A","—")))))))</f>
        <v/>
      </c>
      <c r="N179" s="28" t="str">
        <f aca="false">IF(OR(G179="",F179="",J179&lt;=0),"",IF(Settings!$C$6&lt;F179+Settings!$P$14,F179+Settings!$P$14,IF(Settings!$C$6&lt;F179+Settings!$P$15,F179+Settings!$P$15,IF(Settings!$C$6&lt;F179+Settings!$P$16,F179+Settings!$P$16,IF(Settings!$C$6&lt;F179+Settings!$P$17,F179+Settings!$P$17,IF(Settings!$C$6&lt;F179+Settings!$P$18,F179+Settings!$P$18,""))))))</f>
        <v/>
      </c>
      <c r="O179" s="22"/>
      <c r="P179" s="26"/>
      <c r="Q179" s="21" t="str">
        <f aca="false">IF(OR(M179="",M179="Paid",M179="—"),IF(M179="Paid","Paid ✓",""),IF(O179="","Send "&amp;M179&amp;" now",IF(CODE(M179)&gt;CODE(O179),"Send "&amp;M179&amp;" now","Up to date")))</f>
        <v/>
      </c>
      <c r="R179" s="22"/>
      <c r="S179" s="29" t="n">
        <f aca="false">IF(LEFT(Q179,4)="Send",1,0)</f>
        <v>0</v>
      </c>
      <c r="T179" s="29" t="str">
        <f aca="false">IF(S179=0,"",COUNTIFS($S$5:$S$204,1,$F$5:$F$204,"&lt;"&amp;F179)+COUNTIFS($S$5:$S179,1,$F$5:$F179,F179))</f>
        <v/>
      </c>
    </row>
    <row r="180" customFormat="false" ht="15" hidden="false" customHeight="false" outlineLevel="0" collapsed="false">
      <c r="A180" s="22"/>
      <c r="B180" s="22"/>
      <c r="C180" s="22"/>
      <c r="D180" s="26"/>
      <c r="E180" s="22"/>
      <c r="F180" s="28" t="str">
        <f aca="false">IF(D180="","",D180+IF(E180="",Settings!$C$7,E180))</f>
        <v/>
      </c>
      <c r="G180" s="23"/>
      <c r="H180" s="23"/>
      <c r="I180" s="26"/>
      <c r="J180" s="25" t="str">
        <f aca="false">IF(G180="","",G180-N(H180))</f>
        <v/>
      </c>
      <c r="K180" s="21" t="str">
        <f aca="false">IF(OR(G180="",F180=""),"",IF(J180&lt;=0,"Paid",IF(Settings!$C$6&lt;F180,IF(N(H180)&gt;0,"Part-paid","Not due"),IF(Settings!$C$6=F180,"Due today","Overdue"))))</f>
        <v/>
      </c>
      <c r="L180" s="27" t="str">
        <f aca="false">IF(OR(G180="",F180=""),"",IF(J180&lt;=0,"",MAX(0,Settings!$C$6-F180)))</f>
        <v/>
      </c>
      <c r="M180" s="31" t="str">
        <f aca="false">IF(OR(G180="",F180=""),"",IF(J180&lt;=0,"Paid",IF(Settings!$C$6&gt;=F180+Settings!$P$18,"E",IF(Settings!$C$6&gt;=F180+Settings!$P$17,"D",IF(Settings!$C$6&gt;=F180+Settings!$P$16,"C",IF(Settings!$C$6&gt;=F180+Settings!$P$15,"B",IF(Settings!$C$6&gt;=F180+Settings!$P$14,"A","—")))))))</f>
        <v/>
      </c>
      <c r="N180" s="28" t="str">
        <f aca="false">IF(OR(G180="",F180="",J180&lt;=0),"",IF(Settings!$C$6&lt;F180+Settings!$P$14,F180+Settings!$P$14,IF(Settings!$C$6&lt;F180+Settings!$P$15,F180+Settings!$P$15,IF(Settings!$C$6&lt;F180+Settings!$P$16,F180+Settings!$P$16,IF(Settings!$C$6&lt;F180+Settings!$P$17,F180+Settings!$P$17,IF(Settings!$C$6&lt;F180+Settings!$P$18,F180+Settings!$P$18,""))))))</f>
        <v/>
      </c>
      <c r="O180" s="22"/>
      <c r="P180" s="26"/>
      <c r="Q180" s="21" t="str">
        <f aca="false">IF(OR(M180="",M180="Paid",M180="—"),IF(M180="Paid","Paid ✓",""),IF(O180="","Send "&amp;M180&amp;" now",IF(CODE(M180)&gt;CODE(O180),"Send "&amp;M180&amp;" now","Up to date")))</f>
        <v/>
      </c>
      <c r="R180" s="22"/>
      <c r="S180" s="29" t="n">
        <f aca="false">IF(LEFT(Q180,4)="Send",1,0)</f>
        <v>0</v>
      </c>
      <c r="T180" s="29" t="str">
        <f aca="false">IF(S180=0,"",COUNTIFS($S$5:$S$204,1,$F$5:$F$204,"&lt;"&amp;F180)+COUNTIFS($S$5:$S180,1,$F$5:$F180,F180))</f>
        <v/>
      </c>
    </row>
    <row r="181" customFormat="false" ht="15" hidden="false" customHeight="false" outlineLevel="0" collapsed="false">
      <c r="A181" s="22"/>
      <c r="B181" s="22"/>
      <c r="C181" s="22"/>
      <c r="D181" s="26"/>
      <c r="E181" s="22"/>
      <c r="F181" s="28" t="str">
        <f aca="false">IF(D181="","",D181+IF(E181="",Settings!$C$7,E181))</f>
        <v/>
      </c>
      <c r="G181" s="23"/>
      <c r="H181" s="23"/>
      <c r="I181" s="26"/>
      <c r="J181" s="25" t="str">
        <f aca="false">IF(G181="","",G181-N(H181))</f>
        <v/>
      </c>
      <c r="K181" s="21" t="str">
        <f aca="false">IF(OR(G181="",F181=""),"",IF(J181&lt;=0,"Paid",IF(Settings!$C$6&lt;F181,IF(N(H181)&gt;0,"Part-paid","Not due"),IF(Settings!$C$6=F181,"Due today","Overdue"))))</f>
        <v/>
      </c>
      <c r="L181" s="27" t="str">
        <f aca="false">IF(OR(G181="",F181=""),"",IF(J181&lt;=0,"",MAX(0,Settings!$C$6-F181)))</f>
        <v/>
      </c>
      <c r="M181" s="31" t="str">
        <f aca="false">IF(OR(G181="",F181=""),"",IF(J181&lt;=0,"Paid",IF(Settings!$C$6&gt;=F181+Settings!$P$18,"E",IF(Settings!$C$6&gt;=F181+Settings!$P$17,"D",IF(Settings!$C$6&gt;=F181+Settings!$P$16,"C",IF(Settings!$C$6&gt;=F181+Settings!$P$15,"B",IF(Settings!$C$6&gt;=F181+Settings!$P$14,"A","—")))))))</f>
        <v/>
      </c>
      <c r="N181" s="28" t="str">
        <f aca="false">IF(OR(G181="",F181="",J181&lt;=0),"",IF(Settings!$C$6&lt;F181+Settings!$P$14,F181+Settings!$P$14,IF(Settings!$C$6&lt;F181+Settings!$P$15,F181+Settings!$P$15,IF(Settings!$C$6&lt;F181+Settings!$P$16,F181+Settings!$P$16,IF(Settings!$C$6&lt;F181+Settings!$P$17,F181+Settings!$P$17,IF(Settings!$C$6&lt;F181+Settings!$P$18,F181+Settings!$P$18,""))))))</f>
        <v/>
      </c>
      <c r="O181" s="22"/>
      <c r="P181" s="26"/>
      <c r="Q181" s="21" t="str">
        <f aca="false">IF(OR(M181="",M181="Paid",M181="—"),IF(M181="Paid","Paid ✓",""),IF(O181="","Send "&amp;M181&amp;" now",IF(CODE(M181)&gt;CODE(O181),"Send "&amp;M181&amp;" now","Up to date")))</f>
        <v/>
      </c>
      <c r="R181" s="22"/>
      <c r="S181" s="29" t="n">
        <f aca="false">IF(LEFT(Q181,4)="Send",1,0)</f>
        <v>0</v>
      </c>
      <c r="T181" s="29" t="str">
        <f aca="false">IF(S181=0,"",COUNTIFS($S$5:$S$204,1,$F$5:$F$204,"&lt;"&amp;F181)+COUNTIFS($S$5:$S181,1,$F$5:$F181,F181))</f>
        <v/>
      </c>
    </row>
    <row r="182" customFormat="false" ht="15" hidden="false" customHeight="false" outlineLevel="0" collapsed="false">
      <c r="A182" s="22"/>
      <c r="B182" s="22"/>
      <c r="C182" s="22"/>
      <c r="D182" s="26"/>
      <c r="E182" s="22"/>
      <c r="F182" s="28" t="str">
        <f aca="false">IF(D182="","",D182+IF(E182="",Settings!$C$7,E182))</f>
        <v/>
      </c>
      <c r="G182" s="23"/>
      <c r="H182" s="23"/>
      <c r="I182" s="26"/>
      <c r="J182" s="25" t="str">
        <f aca="false">IF(G182="","",G182-N(H182))</f>
        <v/>
      </c>
      <c r="K182" s="21" t="str">
        <f aca="false">IF(OR(G182="",F182=""),"",IF(J182&lt;=0,"Paid",IF(Settings!$C$6&lt;F182,IF(N(H182)&gt;0,"Part-paid","Not due"),IF(Settings!$C$6=F182,"Due today","Overdue"))))</f>
        <v/>
      </c>
      <c r="L182" s="27" t="str">
        <f aca="false">IF(OR(G182="",F182=""),"",IF(J182&lt;=0,"",MAX(0,Settings!$C$6-F182)))</f>
        <v/>
      </c>
      <c r="M182" s="31" t="str">
        <f aca="false">IF(OR(G182="",F182=""),"",IF(J182&lt;=0,"Paid",IF(Settings!$C$6&gt;=F182+Settings!$P$18,"E",IF(Settings!$C$6&gt;=F182+Settings!$P$17,"D",IF(Settings!$C$6&gt;=F182+Settings!$P$16,"C",IF(Settings!$C$6&gt;=F182+Settings!$P$15,"B",IF(Settings!$C$6&gt;=F182+Settings!$P$14,"A","—")))))))</f>
        <v/>
      </c>
      <c r="N182" s="28" t="str">
        <f aca="false">IF(OR(G182="",F182="",J182&lt;=0),"",IF(Settings!$C$6&lt;F182+Settings!$P$14,F182+Settings!$P$14,IF(Settings!$C$6&lt;F182+Settings!$P$15,F182+Settings!$P$15,IF(Settings!$C$6&lt;F182+Settings!$P$16,F182+Settings!$P$16,IF(Settings!$C$6&lt;F182+Settings!$P$17,F182+Settings!$P$17,IF(Settings!$C$6&lt;F182+Settings!$P$18,F182+Settings!$P$18,""))))))</f>
        <v/>
      </c>
      <c r="O182" s="22"/>
      <c r="P182" s="26"/>
      <c r="Q182" s="21" t="str">
        <f aca="false">IF(OR(M182="",M182="Paid",M182="—"),IF(M182="Paid","Paid ✓",""),IF(O182="","Send "&amp;M182&amp;" now",IF(CODE(M182)&gt;CODE(O182),"Send "&amp;M182&amp;" now","Up to date")))</f>
        <v/>
      </c>
      <c r="R182" s="22"/>
      <c r="S182" s="29" t="n">
        <f aca="false">IF(LEFT(Q182,4)="Send",1,0)</f>
        <v>0</v>
      </c>
      <c r="T182" s="29" t="str">
        <f aca="false">IF(S182=0,"",COUNTIFS($S$5:$S$204,1,$F$5:$F$204,"&lt;"&amp;F182)+COUNTIFS($S$5:$S182,1,$F$5:$F182,F182))</f>
        <v/>
      </c>
    </row>
    <row r="183" customFormat="false" ht="15" hidden="false" customHeight="false" outlineLevel="0" collapsed="false">
      <c r="A183" s="22"/>
      <c r="B183" s="22"/>
      <c r="C183" s="22"/>
      <c r="D183" s="26"/>
      <c r="E183" s="22"/>
      <c r="F183" s="28" t="str">
        <f aca="false">IF(D183="","",D183+IF(E183="",Settings!$C$7,E183))</f>
        <v/>
      </c>
      <c r="G183" s="23"/>
      <c r="H183" s="23"/>
      <c r="I183" s="26"/>
      <c r="J183" s="25" t="str">
        <f aca="false">IF(G183="","",G183-N(H183))</f>
        <v/>
      </c>
      <c r="K183" s="21" t="str">
        <f aca="false">IF(OR(G183="",F183=""),"",IF(J183&lt;=0,"Paid",IF(Settings!$C$6&lt;F183,IF(N(H183)&gt;0,"Part-paid","Not due"),IF(Settings!$C$6=F183,"Due today","Overdue"))))</f>
        <v/>
      </c>
      <c r="L183" s="27" t="str">
        <f aca="false">IF(OR(G183="",F183=""),"",IF(J183&lt;=0,"",MAX(0,Settings!$C$6-F183)))</f>
        <v/>
      </c>
      <c r="M183" s="31" t="str">
        <f aca="false">IF(OR(G183="",F183=""),"",IF(J183&lt;=0,"Paid",IF(Settings!$C$6&gt;=F183+Settings!$P$18,"E",IF(Settings!$C$6&gt;=F183+Settings!$P$17,"D",IF(Settings!$C$6&gt;=F183+Settings!$P$16,"C",IF(Settings!$C$6&gt;=F183+Settings!$P$15,"B",IF(Settings!$C$6&gt;=F183+Settings!$P$14,"A","—")))))))</f>
        <v/>
      </c>
      <c r="N183" s="28" t="str">
        <f aca="false">IF(OR(G183="",F183="",J183&lt;=0),"",IF(Settings!$C$6&lt;F183+Settings!$P$14,F183+Settings!$P$14,IF(Settings!$C$6&lt;F183+Settings!$P$15,F183+Settings!$P$15,IF(Settings!$C$6&lt;F183+Settings!$P$16,F183+Settings!$P$16,IF(Settings!$C$6&lt;F183+Settings!$P$17,F183+Settings!$P$17,IF(Settings!$C$6&lt;F183+Settings!$P$18,F183+Settings!$P$18,""))))))</f>
        <v/>
      </c>
      <c r="O183" s="22"/>
      <c r="P183" s="26"/>
      <c r="Q183" s="21" t="str">
        <f aca="false">IF(OR(M183="",M183="Paid",M183="—"),IF(M183="Paid","Paid ✓",""),IF(O183="","Send "&amp;M183&amp;" now",IF(CODE(M183)&gt;CODE(O183),"Send "&amp;M183&amp;" now","Up to date")))</f>
        <v/>
      </c>
      <c r="R183" s="22"/>
      <c r="S183" s="29" t="n">
        <f aca="false">IF(LEFT(Q183,4)="Send",1,0)</f>
        <v>0</v>
      </c>
      <c r="T183" s="29" t="str">
        <f aca="false">IF(S183=0,"",COUNTIFS($S$5:$S$204,1,$F$5:$F$204,"&lt;"&amp;F183)+COUNTIFS($S$5:$S183,1,$F$5:$F183,F183))</f>
        <v/>
      </c>
    </row>
    <row r="184" customFormat="false" ht="15" hidden="false" customHeight="false" outlineLevel="0" collapsed="false">
      <c r="A184" s="22"/>
      <c r="B184" s="22"/>
      <c r="C184" s="22"/>
      <c r="D184" s="26"/>
      <c r="E184" s="22"/>
      <c r="F184" s="28" t="str">
        <f aca="false">IF(D184="","",D184+IF(E184="",Settings!$C$7,E184))</f>
        <v/>
      </c>
      <c r="G184" s="23"/>
      <c r="H184" s="23"/>
      <c r="I184" s="26"/>
      <c r="J184" s="25" t="str">
        <f aca="false">IF(G184="","",G184-N(H184))</f>
        <v/>
      </c>
      <c r="K184" s="21" t="str">
        <f aca="false">IF(OR(G184="",F184=""),"",IF(J184&lt;=0,"Paid",IF(Settings!$C$6&lt;F184,IF(N(H184)&gt;0,"Part-paid","Not due"),IF(Settings!$C$6=F184,"Due today","Overdue"))))</f>
        <v/>
      </c>
      <c r="L184" s="27" t="str">
        <f aca="false">IF(OR(G184="",F184=""),"",IF(J184&lt;=0,"",MAX(0,Settings!$C$6-F184)))</f>
        <v/>
      </c>
      <c r="M184" s="31" t="str">
        <f aca="false">IF(OR(G184="",F184=""),"",IF(J184&lt;=0,"Paid",IF(Settings!$C$6&gt;=F184+Settings!$P$18,"E",IF(Settings!$C$6&gt;=F184+Settings!$P$17,"D",IF(Settings!$C$6&gt;=F184+Settings!$P$16,"C",IF(Settings!$C$6&gt;=F184+Settings!$P$15,"B",IF(Settings!$C$6&gt;=F184+Settings!$P$14,"A","—")))))))</f>
        <v/>
      </c>
      <c r="N184" s="28" t="str">
        <f aca="false">IF(OR(G184="",F184="",J184&lt;=0),"",IF(Settings!$C$6&lt;F184+Settings!$P$14,F184+Settings!$P$14,IF(Settings!$C$6&lt;F184+Settings!$P$15,F184+Settings!$P$15,IF(Settings!$C$6&lt;F184+Settings!$P$16,F184+Settings!$P$16,IF(Settings!$C$6&lt;F184+Settings!$P$17,F184+Settings!$P$17,IF(Settings!$C$6&lt;F184+Settings!$P$18,F184+Settings!$P$18,""))))))</f>
        <v/>
      </c>
      <c r="O184" s="22"/>
      <c r="P184" s="26"/>
      <c r="Q184" s="21" t="str">
        <f aca="false">IF(OR(M184="",M184="Paid",M184="—"),IF(M184="Paid","Paid ✓",""),IF(O184="","Send "&amp;M184&amp;" now",IF(CODE(M184)&gt;CODE(O184),"Send "&amp;M184&amp;" now","Up to date")))</f>
        <v/>
      </c>
      <c r="R184" s="22"/>
      <c r="S184" s="29" t="n">
        <f aca="false">IF(LEFT(Q184,4)="Send",1,0)</f>
        <v>0</v>
      </c>
      <c r="T184" s="29" t="str">
        <f aca="false">IF(S184=0,"",COUNTIFS($S$5:$S$204,1,$F$5:$F$204,"&lt;"&amp;F184)+COUNTIFS($S$5:$S184,1,$F$5:$F184,F184))</f>
        <v/>
      </c>
    </row>
    <row r="185" customFormat="false" ht="15" hidden="false" customHeight="false" outlineLevel="0" collapsed="false">
      <c r="A185" s="22"/>
      <c r="B185" s="22"/>
      <c r="C185" s="22"/>
      <c r="D185" s="26"/>
      <c r="E185" s="22"/>
      <c r="F185" s="28" t="str">
        <f aca="false">IF(D185="","",D185+IF(E185="",Settings!$C$7,E185))</f>
        <v/>
      </c>
      <c r="G185" s="23"/>
      <c r="H185" s="23"/>
      <c r="I185" s="26"/>
      <c r="J185" s="25" t="str">
        <f aca="false">IF(G185="","",G185-N(H185))</f>
        <v/>
      </c>
      <c r="K185" s="21" t="str">
        <f aca="false">IF(OR(G185="",F185=""),"",IF(J185&lt;=0,"Paid",IF(Settings!$C$6&lt;F185,IF(N(H185)&gt;0,"Part-paid","Not due"),IF(Settings!$C$6=F185,"Due today","Overdue"))))</f>
        <v/>
      </c>
      <c r="L185" s="27" t="str">
        <f aca="false">IF(OR(G185="",F185=""),"",IF(J185&lt;=0,"",MAX(0,Settings!$C$6-F185)))</f>
        <v/>
      </c>
      <c r="M185" s="31" t="str">
        <f aca="false">IF(OR(G185="",F185=""),"",IF(J185&lt;=0,"Paid",IF(Settings!$C$6&gt;=F185+Settings!$P$18,"E",IF(Settings!$C$6&gt;=F185+Settings!$P$17,"D",IF(Settings!$C$6&gt;=F185+Settings!$P$16,"C",IF(Settings!$C$6&gt;=F185+Settings!$P$15,"B",IF(Settings!$C$6&gt;=F185+Settings!$P$14,"A","—")))))))</f>
        <v/>
      </c>
      <c r="N185" s="28" t="str">
        <f aca="false">IF(OR(G185="",F185="",J185&lt;=0),"",IF(Settings!$C$6&lt;F185+Settings!$P$14,F185+Settings!$P$14,IF(Settings!$C$6&lt;F185+Settings!$P$15,F185+Settings!$P$15,IF(Settings!$C$6&lt;F185+Settings!$P$16,F185+Settings!$P$16,IF(Settings!$C$6&lt;F185+Settings!$P$17,F185+Settings!$P$17,IF(Settings!$C$6&lt;F185+Settings!$P$18,F185+Settings!$P$18,""))))))</f>
        <v/>
      </c>
      <c r="O185" s="22"/>
      <c r="P185" s="26"/>
      <c r="Q185" s="21" t="str">
        <f aca="false">IF(OR(M185="",M185="Paid",M185="—"),IF(M185="Paid","Paid ✓",""),IF(O185="","Send "&amp;M185&amp;" now",IF(CODE(M185)&gt;CODE(O185),"Send "&amp;M185&amp;" now","Up to date")))</f>
        <v/>
      </c>
      <c r="R185" s="22"/>
      <c r="S185" s="29" t="n">
        <f aca="false">IF(LEFT(Q185,4)="Send",1,0)</f>
        <v>0</v>
      </c>
      <c r="T185" s="29" t="str">
        <f aca="false">IF(S185=0,"",COUNTIFS($S$5:$S$204,1,$F$5:$F$204,"&lt;"&amp;F185)+COUNTIFS($S$5:$S185,1,$F$5:$F185,F185))</f>
        <v/>
      </c>
    </row>
    <row r="186" customFormat="false" ht="15" hidden="false" customHeight="false" outlineLevel="0" collapsed="false">
      <c r="A186" s="22"/>
      <c r="B186" s="22"/>
      <c r="C186" s="22"/>
      <c r="D186" s="26"/>
      <c r="E186" s="22"/>
      <c r="F186" s="28" t="str">
        <f aca="false">IF(D186="","",D186+IF(E186="",Settings!$C$7,E186))</f>
        <v/>
      </c>
      <c r="G186" s="23"/>
      <c r="H186" s="23"/>
      <c r="I186" s="26"/>
      <c r="J186" s="25" t="str">
        <f aca="false">IF(G186="","",G186-N(H186))</f>
        <v/>
      </c>
      <c r="K186" s="21" t="str">
        <f aca="false">IF(OR(G186="",F186=""),"",IF(J186&lt;=0,"Paid",IF(Settings!$C$6&lt;F186,IF(N(H186)&gt;0,"Part-paid","Not due"),IF(Settings!$C$6=F186,"Due today","Overdue"))))</f>
        <v/>
      </c>
      <c r="L186" s="27" t="str">
        <f aca="false">IF(OR(G186="",F186=""),"",IF(J186&lt;=0,"",MAX(0,Settings!$C$6-F186)))</f>
        <v/>
      </c>
      <c r="M186" s="31" t="str">
        <f aca="false">IF(OR(G186="",F186=""),"",IF(J186&lt;=0,"Paid",IF(Settings!$C$6&gt;=F186+Settings!$P$18,"E",IF(Settings!$C$6&gt;=F186+Settings!$P$17,"D",IF(Settings!$C$6&gt;=F186+Settings!$P$16,"C",IF(Settings!$C$6&gt;=F186+Settings!$P$15,"B",IF(Settings!$C$6&gt;=F186+Settings!$P$14,"A","—")))))))</f>
        <v/>
      </c>
      <c r="N186" s="28" t="str">
        <f aca="false">IF(OR(G186="",F186="",J186&lt;=0),"",IF(Settings!$C$6&lt;F186+Settings!$P$14,F186+Settings!$P$14,IF(Settings!$C$6&lt;F186+Settings!$P$15,F186+Settings!$P$15,IF(Settings!$C$6&lt;F186+Settings!$P$16,F186+Settings!$P$16,IF(Settings!$C$6&lt;F186+Settings!$P$17,F186+Settings!$P$17,IF(Settings!$C$6&lt;F186+Settings!$P$18,F186+Settings!$P$18,""))))))</f>
        <v/>
      </c>
      <c r="O186" s="22"/>
      <c r="P186" s="26"/>
      <c r="Q186" s="21" t="str">
        <f aca="false">IF(OR(M186="",M186="Paid",M186="—"),IF(M186="Paid","Paid ✓",""),IF(O186="","Send "&amp;M186&amp;" now",IF(CODE(M186)&gt;CODE(O186),"Send "&amp;M186&amp;" now","Up to date")))</f>
        <v/>
      </c>
      <c r="R186" s="22"/>
      <c r="S186" s="29" t="n">
        <f aca="false">IF(LEFT(Q186,4)="Send",1,0)</f>
        <v>0</v>
      </c>
      <c r="T186" s="29" t="str">
        <f aca="false">IF(S186=0,"",COUNTIFS($S$5:$S$204,1,$F$5:$F$204,"&lt;"&amp;F186)+COUNTIFS($S$5:$S186,1,$F$5:$F186,F186))</f>
        <v/>
      </c>
    </row>
    <row r="187" customFormat="false" ht="15" hidden="false" customHeight="false" outlineLevel="0" collapsed="false">
      <c r="A187" s="22"/>
      <c r="B187" s="22"/>
      <c r="C187" s="22"/>
      <c r="D187" s="26"/>
      <c r="E187" s="22"/>
      <c r="F187" s="28" t="str">
        <f aca="false">IF(D187="","",D187+IF(E187="",Settings!$C$7,E187))</f>
        <v/>
      </c>
      <c r="G187" s="23"/>
      <c r="H187" s="23"/>
      <c r="I187" s="26"/>
      <c r="J187" s="25" t="str">
        <f aca="false">IF(G187="","",G187-N(H187))</f>
        <v/>
      </c>
      <c r="K187" s="21" t="str">
        <f aca="false">IF(OR(G187="",F187=""),"",IF(J187&lt;=0,"Paid",IF(Settings!$C$6&lt;F187,IF(N(H187)&gt;0,"Part-paid","Not due"),IF(Settings!$C$6=F187,"Due today","Overdue"))))</f>
        <v/>
      </c>
      <c r="L187" s="27" t="str">
        <f aca="false">IF(OR(G187="",F187=""),"",IF(J187&lt;=0,"",MAX(0,Settings!$C$6-F187)))</f>
        <v/>
      </c>
      <c r="M187" s="31" t="str">
        <f aca="false">IF(OR(G187="",F187=""),"",IF(J187&lt;=0,"Paid",IF(Settings!$C$6&gt;=F187+Settings!$P$18,"E",IF(Settings!$C$6&gt;=F187+Settings!$P$17,"D",IF(Settings!$C$6&gt;=F187+Settings!$P$16,"C",IF(Settings!$C$6&gt;=F187+Settings!$P$15,"B",IF(Settings!$C$6&gt;=F187+Settings!$P$14,"A","—")))))))</f>
        <v/>
      </c>
      <c r="N187" s="28" t="str">
        <f aca="false">IF(OR(G187="",F187="",J187&lt;=0),"",IF(Settings!$C$6&lt;F187+Settings!$P$14,F187+Settings!$P$14,IF(Settings!$C$6&lt;F187+Settings!$P$15,F187+Settings!$P$15,IF(Settings!$C$6&lt;F187+Settings!$P$16,F187+Settings!$P$16,IF(Settings!$C$6&lt;F187+Settings!$P$17,F187+Settings!$P$17,IF(Settings!$C$6&lt;F187+Settings!$P$18,F187+Settings!$P$18,""))))))</f>
        <v/>
      </c>
      <c r="O187" s="22"/>
      <c r="P187" s="26"/>
      <c r="Q187" s="21" t="str">
        <f aca="false">IF(OR(M187="",M187="Paid",M187="—"),IF(M187="Paid","Paid ✓",""),IF(O187="","Send "&amp;M187&amp;" now",IF(CODE(M187)&gt;CODE(O187),"Send "&amp;M187&amp;" now","Up to date")))</f>
        <v/>
      </c>
      <c r="R187" s="22"/>
      <c r="S187" s="29" t="n">
        <f aca="false">IF(LEFT(Q187,4)="Send",1,0)</f>
        <v>0</v>
      </c>
      <c r="T187" s="29" t="str">
        <f aca="false">IF(S187=0,"",COUNTIFS($S$5:$S$204,1,$F$5:$F$204,"&lt;"&amp;F187)+COUNTIFS($S$5:$S187,1,$F$5:$F187,F187))</f>
        <v/>
      </c>
    </row>
    <row r="188" customFormat="false" ht="15" hidden="false" customHeight="false" outlineLevel="0" collapsed="false">
      <c r="A188" s="22"/>
      <c r="B188" s="22"/>
      <c r="C188" s="22"/>
      <c r="D188" s="26"/>
      <c r="E188" s="22"/>
      <c r="F188" s="28" t="str">
        <f aca="false">IF(D188="","",D188+IF(E188="",Settings!$C$7,E188))</f>
        <v/>
      </c>
      <c r="G188" s="23"/>
      <c r="H188" s="23"/>
      <c r="I188" s="26"/>
      <c r="J188" s="25" t="str">
        <f aca="false">IF(G188="","",G188-N(H188))</f>
        <v/>
      </c>
      <c r="K188" s="21" t="str">
        <f aca="false">IF(OR(G188="",F188=""),"",IF(J188&lt;=0,"Paid",IF(Settings!$C$6&lt;F188,IF(N(H188)&gt;0,"Part-paid","Not due"),IF(Settings!$C$6=F188,"Due today","Overdue"))))</f>
        <v/>
      </c>
      <c r="L188" s="27" t="str">
        <f aca="false">IF(OR(G188="",F188=""),"",IF(J188&lt;=0,"",MAX(0,Settings!$C$6-F188)))</f>
        <v/>
      </c>
      <c r="M188" s="31" t="str">
        <f aca="false">IF(OR(G188="",F188=""),"",IF(J188&lt;=0,"Paid",IF(Settings!$C$6&gt;=F188+Settings!$P$18,"E",IF(Settings!$C$6&gt;=F188+Settings!$P$17,"D",IF(Settings!$C$6&gt;=F188+Settings!$P$16,"C",IF(Settings!$C$6&gt;=F188+Settings!$P$15,"B",IF(Settings!$C$6&gt;=F188+Settings!$P$14,"A","—")))))))</f>
        <v/>
      </c>
      <c r="N188" s="28" t="str">
        <f aca="false">IF(OR(G188="",F188="",J188&lt;=0),"",IF(Settings!$C$6&lt;F188+Settings!$P$14,F188+Settings!$P$14,IF(Settings!$C$6&lt;F188+Settings!$P$15,F188+Settings!$P$15,IF(Settings!$C$6&lt;F188+Settings!$P$16,F188+Settings!$P$16,IF(Settings!$C$6&lt;F188+Settings!$P$17,F188+Settings!$P$17,IF(Settings!$C$6&lt;F188+Settings!$P$18,F188+Settings!$P$18,""))))))</f>
        <v/>
      </c>
      <c r="O188" s="22"/>
      <c r="P188" s="26"/>
      <c r="Q188" s="21" t="str">
        <f aca="false">IF(OR(M188="",M188="Paid",M188="—"),IF(M188="Paid","Paid ✓",""),IF(O188="","Send "&amp;M188&amp;" now",IF(CODE(M188)&gt;CODE(O188),"Send "&amp;M188&amp;" now","Up to date")))</f>
        <v/>
      </c>
      <c r="R188" s="22"/>
      <c r="S188" s="29" t="n">
        <f aca="false">IF(LEFT(Q188,4)="Send",1,0)</f>
        <v>0</v>
      </c>
      <c r="T188" s="29" t="str">
        <f aca="false">IF(S188=0,"",COUNTIFS($S$5:$S$204,1,$F$5:$F$204,"&lt;"&amp;F188)+COUNTIFS($S$5:$S188,1,$F$5:$F188,F188))</f>
        <v/>
      </c>
    </row>
    <row r="189" customFormat="false" ht="15" hidden="false" customHeight="false" outlineLevel="0" collapsed="false">
      <c r="A189" s="22"/>
      <c r="B189" s="22"/>
      <c r="C189" s="22"/>
      <c r="D189" s="26"/>
      <c r="E189" s="22"/>
      <c r="F189" s="28" t="str">
        <f aca="false">IF(D189="","",D189+IF(E189="",Settings!$C$7,E189))</f>
        <v/>
      </c>
      <c r="G189" s="23"/>
      <c r="H189" s="23"/>
      <c r="I189" s="26"/>
      <c r="J189" s="25" t="str">
        <f aca="false">IF(G189="","",G189-N(H189))</f>
        <v/>
      </c>
      <c r="K189" s="21" t="str">
        <f aca="false">IF(OR(G189="",F189=""),"",IF(J189&lt;=0,"Paid",IF(Settings!$C$6&lt;F189,IF(N(H189)&gt;0,"Part-paid","Not due"),IF(Settings!$C$6=F189,"Due today","Overdue"))))</f>
        <v/>
      </c>
      <c r="L189" s="27" t="str">
        <f aca="false">IF(OR(G189="",F189=""),"",IF(J189&lt;=0,"",MAX(0,Settings!$C$6-F189)))</f>
        <v/>
      </c>
      <c r="M189" s="31" t="str">
        <f aca="false">IF(OR(G189="",F189=""),"",IF(J189&lt;=0,"Paid",IF(Settings!$C$6&gt;=F189+Settings!$P$18,"E",IF(Settings!$C$6&gt;=F189+Settings!$P$17,"D",IF(Settings!$C$6&gt;=F189+Settings!$P$16,"C",IF(Settings!$C$6&gt;=F189+Settings!$P$15,"B",IF(Settings!$C$6&gt;=F189+Settings!$P$14,"A","—")))))))</f>
        <v/>
      </c>
      <c r="N189" s="28" t="str">
        <f aca="false">IF(OR(G189="",F189="",J189&lt;=0),"",IF(Settings!$C$6&lt;F189+Settings!$P$14,F189+Settings!$P$14,IF(Settings!$C$6&lt;F189+Settings!$P$15,F189+Settings!$P$15,IF(Settings!$C$6&lt;F189+Settings!$P$16,F189+Settings!$P$16,IF(Settings!$C$6&lt;F189+Settings!$P$17,F189+Settings!$P$17,IF(Settings!$C$6&lt;F189+Settings!$P$18,F189+Settings!$P$18,""))))))</f>
        <v/>
      </c>
      <c r="O189" s="22"/>
      <c r="P189" s="26"/>
      <c r="Q189" s="21" t="str">
        <f aca="false">IF(OR(M189="",M189="Paid",M189="—"),IF(M189="Paid","Paid ✓",""),IF(O189="","Send "&amp;M189&amp;" now",IF(CODE(M189)&gt;CODE(O189),"Send "&amp;M189&amp;" now","Up to date")))</f>
        <v/>
      </c>
      <c r="R189" s="22"/>
      <c r="S189" s="29" t="n">
        <f aca="false">IF(LEFT(Q189,4)="Send",1,0)</f>
        <v>0</v>
      </c>
      <c r="T189" s="29" t="str">
        <f aca="false">IF(S189=0,"",COUNTIFS($S$5:$S$204,1,$F$5:$F$204,"&lt;"&amp;F189)+COUNTIFS($S$5:$S189,1,$F$5:$F189,F189))</f>
        <v/>
      </c>
    </row>
    <row r="190" customFormat="false" ht="15" hidden="false" customHeight="false" outlineLevel="0" collapsed="false">
      <c r="A190" s="22"/>
      <c r="B190" s="22"/>
      <c r="C190" s="22"/>
      <c r="D190" s="26"/>
      <c r="E190" s="22"/>
      <c r="F190" s="28" t="str">
        <f aca="false">IF(D190="","",D190+IF(E190="",Settings!$C$7,E190))</f>
        <v/>
      </c>
      <c r="G190" s="23"/>
      <c r="H190" s="23"/>
      <c r="I190" s="26"/>
      <c r="J190" s="25" t="str">
        <f aca="false">IF(G190="","",G190-N(H190))</f>
        <v/>
      </c>
      <c r="K190" s="21" t="str">
        <f aca="false">IF(OR(G190="",F190=""),"",IF(J190&lt;=0,"Paid",IF(Settings!$C$6&lt;F190,IF(N(H190)&gt;0,"Part-paid","Not due"),IF(Settings!$C$6=F190,"Due today","Overdue"))))</f>
        <v/>
      </c>
      <c r="L190" s="27" t="str">
        <f aca="false">IF(OR(G190="",F190=""),"",IF(J190&lt;=0,"",MAX(0,Settings!$C$6-F190)))</f>
        <v/>
      </c>
      <c r="M190" s="31" t="str">
        <f aca="false">IF(OR(G190="",F190=""),"",IF(J190&lt;=0,"Paid",IF(Settings!$C$6&gt;=F190+Settings!$P$18,"E",IF(Settings!$C$6&gt;=F190+Settings!$P$17,"D",IF(Settings!$C$6&gt;=F190+Settings!$P$16,"C",IF(Settings!$C$6&gt;=F190+Settings!$P$15,"B",IF(Settings!$C$6&gt;=F190+Settings!$P$14,"A","—")))))))</f>
        <v/>
      </c>
      <c r="N190" s="28" t="str">
        <f aca="false">IF(OR(G190="",F190="",J190&lt;=0),"",IF(Settings!$C$6&lt;F190+Settings!$P$14,F190+Settings!$P$14,IF(Settings!$C$6&lt;F190+Settings!$P$15,F190+Settings!$P$15,IF(Settings!$C$6&lt;F190+Settings!$P$16,F190+Settings!$P$16,IF(Settings!$C$6&lt;F190+Settings!$P$17,F190+Settings!$P$17,IF(Settings!$C$6&lt;F190+Settings!$P$18,F190+Settings!$P$18,""))))))</f>
        <v/>
      </c>
      <c r="O190" s="22"/>
      <c r="P190" s="26"/>
      <c r="Q190" s="21" t="str">
        <f aca="false">IF(OR(M190="",M190="Paid",M190="—"),IF(M190="Paid","Paid ✓",""),IF(O190="","Send "&amp;M190&amp;" now",IF(CODE(M190)&gt;CODE(O190),"Send "&amp;M190&amp;" now","Up to date")))</f>
        <v/>
      </c>
      <c r="R190" s="22"/>
      <c r="S190" s="29" t="n">
        <f aca="false">IF(LEFT(Q190,4)="Send",1,0)</f>
        <v>0</v>
      </c>
      <c r="T190" s="29" t="str">
        <f aca="false">IF(S190=0,"",COUNTIFS($S$5:$S$204,1,$F$5:$F$204,"&lt;"&amp;F190)+COUNTIFS($S$5:$S190,1,$F$5:$F190,F190))</f>
        <v/>
      </c>
    </row>
    <row r="191" customFormat="false" ht="15" hidden="false" customHeight="false" outlineLevel="0" collapsed="false">
      <c r="A191" s="22"/>
      <c r="B191" s="22"/>
      <c r="C191" s="22"/>
      <c r="D191" s="26"/>
      <c r="E191" s="22"/>
      <c r="F191" s="28" t="str">
        <f aca="false">IF(D191="","",D191+IF(E191="",Settings!$C$7,E191))</f>
        <v/>
      </c>
      <c r="G191" s="23"/>
      <c r="H191" s="23"/>
      <c r="I191" s="26"/>
      <c r="J191" s="25" t="str">
        <f aca="false">IF(G191="","",G191-N(H191))</f>
        <v/>
      </c>
      <c r="K191" s="21" t="str">
        <f aca="false">IF(OR(G191="",F191=""),"",IF(J191&lt;=0,"Paid",IF(Settings!$C$6&lt;F191,IF(N(H191)&gt;0,"Part-paid","Not due"),IF(Settings!$C$6=F191,"Due today","Overdue"))))</f>
        <v/>
      </c>
      <c r="L191" s="27" t="str">
        <f aca="false">IF(OR(G191="",F191=""),"",IF(J191&lt;=0,"",MAX(0,Settings!$C$6-F191)))</f>
        <v/>
      </c>
      <c r="M191" s="31" t="str">
        <f aca="false">IF(OR(G191="",F191=""),"",IF(J191&lt;=0,"Paid",IF(Settings!$C$6&gt;=F191+Settings!$P$18,"E",IF(Settings!$C$6&gt;=F191+Settings!$P$17,"D",IF(Settings!$C$6&gt;=F191+Settings!$P$16,"C",IF(Settings!$C$6&gt;=F191+Settings!$P$15,"B",IF(Settings!$C$6&gt;=F191+Settings!$P$14,"A","—")))))))</f>
        <v/>
      </c>
      <c r="N191" s="28" t="str">
        <f aca="false">IF(OR(G191="",F191="",J191&lt;=0),"",IF(Settings!$C$6&lt;F191+Settings!$P$14,F191+Settings!$P$14,IF(Settings!$C$6&lt;F191+Settings!$P$15,F191+Settings!$P$15,IF(Settings!$C$6&lt;F191+Settings!$P$16,F191+Settings!$P$16,IF(Settings!$C$6&lt;F191+Settings!$P$17,F191+Settings!$P$17,IF(Settings!$C$6&lt;F191+Settings!$P$18,F191+Settings!$P$18,""))))))</f>
        <v/>
      </c>
      <c r="O191" s="22"/>
      <c r="P191" s="26"/>
      <c r="Q191" s="21" t="str">
        <f aca="false">IF(OR(M191="",M191="Paid",M191="—"),IF(M191="Paid","Paid ✓",""),IF(O191="","Send "&amp;M191&amp;" now",IF(CODE(M191)&gt;CODE(O191),"Send "&amp;M191&amp;" now","Up to date")))</f>
        <v/>
      </c>
      <c r="R191" s="22"/>
      <c r="S191" s="29" t="n">
        <f aca="false">IF(LEFT(Q191,4)="Send",1,0)</f>
        <v>0</v>
      </c>
      <c r="T191" s="29" t="str">
        <f aca="false">IF(S191=0,"",COUNTIFS($S$5:$S$204,1,$F$5:$F$204,"&lt;"&amp;F191)+COUNTIFS($S$5:$S191,1,$F$5:$F191,F191))</f>
        <v/>
      </c>
    </row>
    <row r="192" customFormat="false" ht="15" hidden="false" customHeight="false" outlineLevel="0" collapsed="false">
      <c r="A192" s="22"/>
      <c r="B192" s="22"/>
      <c r="C192" s="22"/>
      <c r="D192" s="26"/>
      <c r="E192" s="22"/>
      <c r="F192" s="28" t="str">
        <f aca="false">IF(D192="","",D192+IF(E192="",Settings!$C$7,E192))</f>
        <v/>
      </c>
      <c r="G192" s="23"/>
      <c r="H192" s="23"/>
      <c r="I192" s="26"/>
      <c r="J192" s="25" t="str">
        <f aca="false">IF(G192="","",G192-N(H192))</f>
        <v/>
      </c>
      <c r="K192" s="21" t="str">
        <f aca="false">IF(OR(G192="",F192=""),"",IF(J192&lt;=0,"Paid",IF(Settings!$C$6&lt;F192,IF(N(H192)&gt;0,"Part-paid","Not due"),IF(Settings!$C$6=F192,"Due today","Overdue"))))</f>
        <v/>
      </c>
      <c r="L192" s="27" t="str">
        <f aca="false">IF(OR(G192="",F192=""),"",IF(J192&lt;=0,"",MAX(0,Settings!$C$6-F192)))</f>
        <v/>
      </c>
      <c r="M192" s="31" t="str">
        <f aca="false">IF(OR(G192="",F192=""),"",IF(J192&lt;=0,"Paid",IF(Settings!$C$6&gt;=F192+Settings!$P$18,"E",IF(Settings!$C$6&gt;=F192+Settings!$P$17,"D",IF(Settings!$C$6&gt;=F192+Settings!$P$16,"C",IF(Settings!$C$6&gt;=F192+Settings!$P$15,"B",IF(Settings!$C$6&gt;=F192+Settings!$P$14,"A","—")))))))</f>
        <v/>
      </c>
      <c r="N192" s="28" t="str">
        <f aca="false">IF(OR(G192="",F192="",J192&lt;=0),"",IF(Settings!$C$6&lt;F192+Settings!$P$14,F192+Settings!$P$14,IF(Settings!$C$6&lt;F192+Settings!$P$15,F192+Settings!$P$15,IF(Settings!$C$6&lt;F192+Settings!$P$16,F192+Settings!$P$16,IF(Settings!$C$6&lt;F192+Settings!$P$17,F192+Settings!$P$17,IF(Settings!$C$6&lt;F192+Settings!$P$18,F192+Settings!$P$18,""))))))</f>
        <v/>
      </c>
      <c r="O192" s="22"/>
      <c r="P192" s="26"/>
      <c r="Q192" s="21" t="str">
        <f aca="false">IF(OR(M192="",M192="Paid",M192="—"),IF(M192="Paid","Paid ✓",""),IF(O192="","Send "&amp;M192&amp;" now",IF(CODE(M192)&gt;CODE(O192),"Send "&amp;M192&amp;" now","Up to date")))</f>
        <v/>
      </c>
      <c r="R192" s="22"/>
      <c r="S192" s="29" t="n">
        <f aca="false">IF(LEFT(Q192,4)="Send",1,0)</f>
        <v>0</v>
      </c>
      <c r="T192" s="29" t="str">
        <f aca="false">IF(S192=0,"",COUNTIFS($S$5:$S$204,1,$F$5:$F$204,"&lt;"&amp;F192)+COUNTIFS($S$5:$S192,1,$F$5:$F192,F192))</f>
        <v/>
      </c>
    </row>
    <row r="193" customFormat="false" ht="15" hidden="false" customHeight="false" outlineLevel="0" collapsed="false">
      <c r="A193" s="22"/>
      <c r="B193" s="22"/>
      <c r="C193" s="22"/>
      <c r="D193" s="26"/>
      <c r="E193" s="22"/>
      <c r="F193" s="28" t="str">
        <f aca="false">IF(D193="","",D193+IF(E193="",Settings!$C$7,E193))</f>
        <v/>
      </c>
      <c r="G193" s="23"/>
      <c r="H193" s="23"/>
      <c r="I193" s="26"/>
      <c r="J193" s="25" t="str">
        <f aca="false">IF(G193="","",G193-N(H193))</f>
        <v/>
      </c>
      <c r="K193" s="21" t="str">
        <f aca="false">IF(OR(G193="",F193=""),"",IF(J193&lt;=0,"Paid",IF(Settings!$C$6&lt;F193,IF(N(H193)&gt;0,"Part-paid","Not due"),IF(Settings!$C$6=F193,"Due today","Overdue"))))</f>
        <v/>
      </c>
      <c r="L193" s="27" t="str">
        <f aca="false">IF(OR(G193="",F193=""),"",IF(J193&lt;=0,"",MAX(0,Settings!$C$6-F193)))</f>
        <v/>
      </c>
      <c r="M193" s="31" t="str">
        <f aca="false">IF(OR(G193="",F193=""),"",IF(J193&lt;=0,"Paid",IF(Settings!$C$6&gt;=F193+Settings!$P$18,"E",IF(Settings!$C$6&gt;=F193+Settings!$P$17,"D",IF(Settings!$C$6&gt;=F193+Settings!$P$16,"C",IF(Settings!$C$6&gt;=F193+Settings!$P$15,"B",IF(Settings!$C$6&gt;=F193+Settings!$P$14,"A","—")))))))</f>
        <v/>
      </c>
      <c r="N193" s="28" t="str">
        <f aca="false">IF(OR(G193="",F193="",J193&lt;=0),"",IF(Settings!$C$6&lt;F193+Settings!$P$14,F193+Settings!$P$14,IF(Settings!$C$6&lt;F193+Settings!$P$15,F193+Settings!$P$15,IF(Settings!$C$6&lt;F193+Settings!$P$16,F193+Settings!$P$16,IF(Settings!$C$6&lt;F193+Settings!$P$17,F193+Settings!$P$17,IF(Settings!$C$6&lt;F193+Settings!$P$18,F193+Settings!$P$18,""))))))</f>
        <v/>
      </c>
      <c r="O193" s="22"/>
      <c r="P193" s="26"/>
      <c r="Q193" s="21" t="str">
        <f aca="false">IF(OR(M193="",M193="Paid",M193="—"),IF(M193="Paid","Paid ✓",""),IF(O193="","Send "&amp;M193&amp;" now",IF(CODE(M193)&gt;CODE(O193),"Send "&amp;M193&amp;" now","Up to date")))</f>
        <v/>
      </c>
      <c r="R193" s="22"/>
      <c r="S193" s="29" t="n">
        <f aca="false">IF(LEFT(Q193,4)="Send",1,0)</f>
        <v>0</v>
      </c>
      <c r="T193" s="29" t="str">
        <f aca="false">IF(S193=0,"",COUNTIFS($S$5:$S$204,1,$F$5:$F$204,"&lt;"&amp;F193)+COUNTIFS($S$5:$S193,1,$F$5:$F193,F193))</f>
        <v/>
      </c>
    </row>
    <row r="194" customFormat="false" ht="15" hidden="false" customHeight="false" outlineLevel="0" collapsed="false">
      <c r="A194" s="22"/>
      <c r="B194" s="22"/>
      <c r="C194" s="22"/>
      <c r="D194" s="26"/>
      <c r="E194" s="22"/>
      <c r="F194" s="28" t="str">
        <f aca="false">IF(D194="","",D194+IF(E194="",Settings!$C$7,E194))</f>
        <v/>
      </c>
      <c r="G194" s="23"/>
      <c r="H194" s="23"/>
      <c r="I194" s="26"/>
      <c r="J194" s="25" t="str">
        <f aca="false">IF(G194="","",G194-N(H194))</f>
        <v/>
      </c>
      <c r="K194" s="21" t="str">
        <f aca="false">IF(OR(G194="",F194=""),"",IF(J194&lt;=0,"Paid",IF(Settings!$C$6&lt;F194,IF(N(H194)&gt;0,"Part-paid","Not due"),IF(Settings!$C$6=F194,"Due today","Overdue"))))</f>
        <v/>
      </c>
      <c r="L194" s="27" t="str">
        <f aca="false">IF(OR(G194="",F194=""),"",IF(J194&lt;=0,"",MAX(0,Settings!$C$6-F194)))</f>
        <v/>
      </c>
      <c r="M194" s="31" t="str">
        <f aca="false">IF(OR(G194="",F194=""),"",IF(J194&lt;=0,"Paid",IF(Settings!$C$6&gt;=F194+Settings!$P$18,"E",IF(Settings!$C$6&gt;=F194+Settings!$P$17,"D",IF(Settings!$C$6&gt;=F194+Settings!$P$16,"C",IF(Settings!$C$6&gt;=F194+Settings!$P$15,"B",IF(Settings!$C$6&gt;=F194+Settings!$P$14,"A","—")))))))</f>
        <v/>
      </c>
      <c r="N194" s="28" t="str">
        <f aca="false">IF(OR(G194="",F194="",J194&lt;=0),"",IF(Settings!$C$6&lt;F194+Settings!$P$14,F194+Settings!$P$14,IF(Settings!$C$6&lt;F194+Settings!$P$15,F194+Settings!$P$15,IF(Settings!$C$6&lt;F194+Settings!$P$16,F194+Settings!$P$16,IF(Settings!$C$6&lt;F194+Settings!$P$17,F194+Settings!$P$17,IF(Settings!$C$6&lt;F194+Settings!$P$18,F194+Settings!$P$18,""))))))</f>
        <v/>
      </c>
      <c r="O194" s="22"/>
      <c r="P194" s="26"/>
      <c r="Q194" s="21" t="str">
        <f aca="false">IF(OR(M194="",M194="Paid",M194="—"),IF(M194="Paid","Paid ✓",""),IF(O194="","Send "&amp;M194&amp;" now",IF(CODE(M194)&gt;CODE(O194),"Send "&amp;M194&amp;" now","Up to date")))</f>
        <v/>
      </c>
      <c r="R194" s="22"/>
      <c r="S194" s="29" t="n">
        <f aca="false">IF(LEFT(Q194,4)="Send",1,0)</f>
        <v>0</v>
      </c>
      <c r="T194" s="29" t="str">
        <f aca="false">IF(S194=0,"",COUNTIFS($S$5:$S$204,1,$F$5:$F$204,"&lt;"&amp;F194)+COUNTIFS($S$5:$S194,1,$F$5:$F194,F194))</f>
        <v/>
      </c>
    </row>
    <row r="195" customFormat="false" ht="15" hidden="false" customHeight="false" outlineLevel="0" collapsed="false">
      <c r="A195" s="22"/>
      <c r="B195" s="22"/>
      <c r="C195" s="22"/>
      <c r="D195" s="26"/>
      <c r="E195" s="22"/>
      <c r="F195" s="28" t="str">
        <f aca="false">IF(D195="","",D195+IF(E195="",Settings!$C$7,E195))</f>
        <v/>
      </c>
      <c r="G195" s="23"/>
      <c r="H195" s="23"/>
      <c r="I195" s="26"/>
      <c r="J195" s="25" t="str">
        <f aca="false">IF(G195="","",G195-N(H195))</f>
        <v/>
      </c>
      <c r="K195" s="21" t="str">
        <f aca="false">IF(OR(G195="",F195=""),"",IF(J195&lt;=0,"Paid",IF(Settings!$C$6&lt;F195,IF(N(H195)&gt;0,"Part-paid","Not due"),IF(Settings!$C$6=F195,"Due today","Overdue"))))</f>
        <v/>
      </c>
      <c r="L195" s="27" t="str">
        <f aca="false">IF(OR(G195="",F195=""),"",IF(J195&lt;=0,"",MAX(0,Settings!$C$6-F195)))</f>
        <v/>
      </c>
      <c r="M195" s="31" t="str">
        <f aca="false">IF(OR(G195="",F195=""),"",IF(J195&lt;=0,"Paid",IF(Settings!$C$6&gt;=F195+Settings!$P$18,"E",IF(Settings!$C$6&gt;=F195+Settings!$P$17,"D",IF(Settings!$C$6&gt;=F195+Settings!$P$16,"C",IF(Settings!$C$6&gt;=F195+Settings!$P$15,"B",IF(Settings!$C$6&gt;=F195+Settings!$P$14,"A","—")))))))</f>
        <v/>
      </c>
      <c r="N195" s="28" t="str">
        <f aca="false">IF(OR(G195="",F195="",J195&lt;=0),"",IF(Settings!$C$6&lt;F195+Settings!$P$14,F195+Settings!$P$14,IF(Settings!$C$6&lt;F195+Settings!$P$15,F195+Settings!$P$15,IF(Settings!$C$6&lt;F195+Settings!$P$16,F195+Settings!$P$16,IF(Settings!$C$6&lt;F195+Settings!$P$17,F195+Settings!$P$17,IF(Settings!$C$6&lt;F195+Settings!$P$18,F195+Settings!$P$18,""))))))</f>
        <v/>
      </c>
      <c r="O195" s="22"/>
      <c r="P195" s="26"/>
      <c r="Q195" s="21" t="str">
        <f aca="false">IF(OR(M195="",M195="Paid",M195="—"),IF(M195="Paid","Paid ✓",""),IF(O195="","Send "&amp;M195&amp;" now",IF(CODE(M195)&gt;CODE(O195),"Send "&amp;M195&amp;" now","Up to date")))</f>
        <v/>
      </c>
      <c r="R195" s="22"/>
      <c r="S195" s="29" t="n">
        <f aca="false">IF(LEFT(Q195,4)="Send",1,0)</f>
        <v>0</v>
      </c>
      <c r="T195" s="29" t="str">
        <f aca="false">IF(S195=0,"",COUNTIFS($S$5:$S$204,1,$F$5:$F$204,"&lt;"&amp;F195)+COUNTIFS($S$5:$S195,1,$F$5:$F195,F195))</f>
        <v/>
      </c>
    </row>
    <row r="196" customFormat="false" ht="15" hidden="false" customHeight="false" outlineLevel="0" collapsed="false">
      <c r="A196" s="22"/>
      <c r="B196" s="22"/>
      <c r="C196" s="22"/>
      <c r="D196" s="26"/>
      <c r="E196" s="22"/>
      <c r="F196" s="28" t="str">
        <f aca="false">IF(D196="","",D196+IF(E196="",Settings!$C$7,E196))</f>
        <v/>
      </c>
      <c r="G196" s="23"/>
      <c r="H196" s="23"/>
      <c r="I196" s="26"/>
      <c r="J196" s="25" t="str">
        <f aca="false">IF(G196="","",G196-N(H196))</f>
        <v/>
      </c>
      <c r="K196" s="21" t="str">
        <f aca="false">IF(OR(G196="",F196=""),"",IF(J196&lt;=0,"Paid",IF(Settings!$C$6&lt;F196,IF(N(H196)&gt;0,"Part-paid","Not due"),IF(Settings!$C$6=F196,"Due today","Overdue"))))</f>
        <v/>
      </c>
      <c r="L196" s="27" t="str">
        <f aca="false">IF(OR(G196="",F196=""),"",IF(J196&lt;=0,"",MAX(0,Settings!$C$6-F196)))</f>
        <v/>
      </c>
      <c r="M196" s="31" t="str">
        <f aca="false">IF(OR(G196="",F196=""),"",IF(J196&lt;=0,"Paid",IF(Settings!$C$6&gt;=F196+Settings!$P$18,"E",IF(Settings!$C$6&gt;=F196+Settings!$P$17,"D",IF(Settings!$C$6&gt;=F196+Settings!$P$16,"C",IF(Settings!$C$6&gt;=F196+Settings!$P$15,"B",IF(Settings!$C$6&gt;=F196+Settings!$P$14,"A","—")))))))</f>
        <v/>
      </c>
      <c r="N196" s="28" t="str">
        <f aca="false">IF(OR(G196="",F196="",J196&lt;=0),"",IF(Settings!$C$6&lt;F196+Settings!$P$14,F196+Settings!$P$14,IF(Settings!$C$6&lt;F196+Settings!$P$15,F196+Settings!$P$15,IF(Settings!$C$6&lt;F196+Settings!$P$16,F196+Settings!$P$16,IF(Settings!$C$6&lt;F196+Settings!$P$17,F196+Settings!$P$17,IF(Settings!$C$6&lt;F196+Settings!$P$18,F196+Settings!$P$18,""))))))</f>
        <v/>
      </c>
      <c r="O196" s="22"/>
      <c r="P196" s="26"/>
      <c r="Q196" s="21" t="str">
        <f aca="false">IF(OR(M196="",M196="Paid",M196="—"),IF(M196="Paid","Paid ✓",""),IF(O196="","Send "&amp;M196&amp;" now",IF(CODE(M196)&gt;CODE(O196),"Send "&amp;M196&amp;" now","Up to date")))</f>
        <v/>
      </c>
      <c r="R196" s="22"/>
      <c r="S196" s="29" t="n">
        <f aca="false">IF(LEFT(Q196,4)="Send",1,0)</f>
        <v>0</v>
      </c>
      <c r="T196" s="29" t="str">
        <f aca="false">IF(S196=0,"",COUNTIFS($S$5:$S$204,1,$F$5:$F$204,"&lt;"&amp;F196)+COUNTIFS($S$5:$S196,1,$F$5:$F196,F196))</f>
        <v/>
      </c>
    </row>
    <row r="197" customFormat="false" ht="15" hidden="false" customHeight="false" outlineLevel="0" collapsed="false">
      <c r="A197" s="22"/>
      <c r="B197" s="22"/>
      <c r="C197" s="22"/>
      <c r="D197" s="26"/>
      <c r="E197" s="22"/>
      <c r="F197" s="28" t="str">
        <f aca="false">IF(D197="","",D197+IF(E197="",Settings!$C$7,E197))</f>
        <v/>
      </c>
      <c r="G197" s="23"/>
      <c r="H197" s="23"/>
      <c r="I197" s="26"/>
      <c r="J197" s="25" t="str">
        <f aca="false">IF(G197="","",G197-N(H197))</f>
        <v/>
      </c>
      <c r="K197" s="21" t="str">
        <f aca="false">IF(OR(G197="",F197=""),"",IF(J197&lt;=0,"Paid",IF(Settings!$C$6&lt;F197,IF(N(H197)&gt;0,"Part-paid","Not due"),IF(Settings!$C$6=F197,"Due today","Overdue"))))</f>
        <v/>
      </c>
      <c r="L197" s="27" t="str">
        <f aca="false">IF(OR(G197="",F197=""),"",IF(J197&lt;=0,"",MAX(0,Settings!$C$6-F197)))</f>
        <v/>
      </c>
      <c r="M197" s="31" t="str">
        <f aca="false">IF(OR(G197="",F197=""),"",IF(J197&lt;=0,"Paid",IF(Settings!$C$6&gt;=F197+Settings!$P$18,"E",IF(Settings!$C$6&gt;=F197+Settings!$P$17,"D",IF(Settings!$C$6&gt;=F197+Settings!$P$16,"C",IF(Settings!$C$6&gt;=F197+Settings!$P$15,"B",IF(Settings!$C$6&gt;=F197+Settings!$P$14,"A","—")))))))</f>
        <v/>
      </c>
      <c r="N197" s="28" t="str">
        <f aca="false">IF(OR(G197="",F197="",J197&lt;=0),"",IF(Settings!$C$6&lt;F197+Settings!$P$14,F197+Settings!$P$14,IF(Settings!$C$6&lt;F197+Settings!$P$15,F197+Settings!$P$15,IF(Settings!$C$6&lt;F197+Settings!$P$16,F197+Settings!$P$16,IF(Settings!$C$6&lt;F197+Settings!$P$17,F197+Settings!$P$17,IF(Settings!$C$6&lt;F197+Settings!$P$18,F197+Settings!$P$18,""))))))</f>
        <v/>
      </c>
      <c r="O197" s="22"/>
      <c r="P197" s="26"/>
      <c r="Q197" s="21" t="str">
        <f aca="false">IF(OR(M197="",M197="Paid",M197="—"),IF(M197="Paid","Paid ✓",""),IF(O197="","Send "&amp;M197&amp;" now",IF(CODE(M197)&gt;CODE(O197),"Send "&amp;M197&amp;" now","Up to date")))</f>
        <v/>
      </c>
      <c r="R197" s="22"/>
      <c r="S197" s="29" t="n">
        <f aca="false">IF(LEFT(Q197,4)="Send",1,0)</f>
        <v>0</v>
      </c>
      <c r="T197" s="29" t="str">
        <f aca="false">IF(S197=0,"",COUNTIFS($S$5:$S$204,1,$F$5:$F$204,"&lt;"&amp;F197)+COUNTIFS($S$5:$S197,1,$F$5:$F197,F197))</f>
        <v/>
      </c>
    </row>
    <row r="198" customFormat="false" ht="15" hidden="false" customHeight="false" outlineLevel="0" collapsed="false">
      <c r="A198" s="22"/>
      <c r="B198" s="22"/>
      <c r="C198" s="22"/>
      <c r="D198" s="26"/>
      <c r="E198" s="22"/>
      <c r="F198" s="28" t="str">
        <f aca="false">IF(D198="","",D198+IF(E198="",Settings!$C$7,E198))</f>
        <v/>
      </c>
      <c r="G198" s="23"/>
      <c r="H198" s="23"/>
      <c r="I198" s="26"/>
      <c r="J198" s="25" t="str">
        <f aca="false">IF(G198="","",G198-N(H198))</f>
        <v/>
      </c>
      <c r="K198" s="21" t="str">
        <f aca="false">IF(OR(G198="",F198=""),"",IF(J198&lt;=0,"Paid",IF(Settings!$C$6&lt;F198,IF(N(H198)&gt;0,"Part-paid","Not due"),IF(Settings!$C$6=F198,"Due today","Overdue"))))</f>
        <v/>
      </c>
      <c r="L198" s="27" t="str">
        <f aca="false">IF(OR(G198="",F198=""),"",IF(J198&lt;=0,"",MAX(0,Settings!$C$6-F198)))</f>
        <v/>
      </c>
      <c r="M198" s="31" t="str">
        <f aca="false">IF(OR(G198="",F198=""),"",IF(J198&lt;=0,"Paid",IF(Settings!$C$6&gt;=F198+Settings!$P$18,"E",IF(Settings!$C$6&gt;=F198+Settings!$P$17,"D",IF(Settings!$C$6&gt;=F198+Settings!$P$16,"C",IF(Settings!$C$6&gt;=F198+Settings!$P$15,"B",IF(Settings!$C$6&gt;=F198+Settings!$P$14,"A","—")))))))</f>
        <v/>
      </c>
      <c r="N198" s="28" t="str">
        <f aca="false">IF(OR(G198="",F198="",J198&lt;=0),"",IF(Settings!$C$6&lt;F198+Settings!$P$14,F198+Settings!$P$14,IF(Settings!$C$6&lt;F198+Settings!$P$15,F198+Settings!$P$15,IF(Settings!$C$6&lt;F198+Settings!$P$16,F198+Settings!$P$16,IF(Settings!$C$6&lt;F198+Settings!$P$17,F198+Settings!$P$17,IF(Settings!$C$6&lt;F198+Settings!$P$18,F198+Settings!$P$18,""))))))</f>
        <v/>
      </c>
      <c r="O198" s="22"/>
      <c r="P198" s="26"/>
      <c r="Q198" s="21" t="str">
        <f aca="false">IF(OR(M198="",M198="Paid",M198="—"),IF(M198="Paid","Paid ✓",""),IF(O198="","Send "&amp;M198&amp;" now",IF(CODE(M198)&gt;CODE(O198),"Send "&amp;M198&amp;" now","Up to date")))</f>
        <v/>
      </c>
      <c r="R198" s="22"/>
      <c r="S198" s="29" t="n">
        <f aca="false">IF(LEFT(Q198,4)="Send",1,0)</f>
        <v>0</v>
      </c>
      <c r="T198" s="29" t="str">
        <f aca="false">IF(S198=0,"",COUNTIFS($S$5:$S$204,1,$F$5:$F$204,"&lt;"&amp;F198)+COUNTIFS($S$5:$S198,1,$F$5:$F198,F198))</f>
        <v/>
      </c>
    </row>
    <row r="199" customFormat="false" ht="15" hidden="false" customHeight="false" outlineLevel="0" collapsed="false">
      <c r="A199" s="22"/>
      <c r="B199" s="22"/>
      <c r="C199" s="22"/>
      <c r="D199" s="26"/>
      <c r="E199" s="22"/>
      <c r="F199" s="28" t="str">
        <f aca="false">IF(D199="","",D199+IF(E199="",Settings!$C$7,E199))</f>
        <v/>
      </c>
      <c r="G199" s="23"/>
      <c r="H199" s="23"/>
      <c r="I199" s="26"/>
      <c r="J199" s="25" t="str">
        <f aca="false">IF(G199="","",G199-N(H199))</f>
        <v/>
      </c>
      <c r="K199" s="21" t="str">
        <f aca="false">IF(OR(G199="",F199=""),"",IF(J199&lt;=0,"Paid",IF(Settings!$C$6&lt;F199,IF(N(H199)&gt;0,"Part-paid","Not due"),IF(Settings!$C$6=F199,"Due today","Overdue"))))</f>
        <v/>
      </c>
      <c r="L199" s="27" t="str">
        <f aca="false">IF(OR(G199="",F199=""),"",IF(J199&lt;=0,"",MAX(0,Settings!$C$6-F199)))</f>
        <v/>
      </c>
      <c r="M199" s="31" t="str">
        <f aca="false">IF(OR(G199="",F199=""),"",IF(J199&lt;=0,"Paid",IF(Settings!$C$6&gt;=F199+Settings!$P$18,"E",IF(Settings!$C$6&gt;=F199+Settings!$P$17,"D",IF(Settings!$C$6&gt;=F199+Settings!$P$16,"C",IF(Settings!$C$6&gt;=F199+Settings!$P$15,"B",IF(Settings!$C$6&gt;=F199+Settings!$P$14,"A","—")))))))</f>
        <v/>
      </c>
      <c r="N199" s="28" t="str">
        <f aca="false">IF(OR(G199="",F199="",J199&lt;=0),"",IF(Settings!$C$6&lt;F199+Settings!$P$14,F199+Settings!$P$14,IF(Settings!$C$6&lt;F199+Settings!$P$15,F199+Settings!$P$15,IF(Settings!$C$6&lt;F199+Settings!$P$16,F199+Settings!$P$16,IF(Settings!$C$6&lt;F199+Settings!$P$17,F199+Settings!$P$17,IF(Settings!$C$6&lt;F199+Settings!$P$18,F199+Settings!$P$18,""))))))</f>
        <v/>
      </c>
      <c r="O199" s="22"/>
      <c r="P199" s="26"/>
      <c r="Q199" s="21" t="str">
        <f aca="false">IF(OR(M199="",M199="Paid",M199="—"),IF(M199="Paid","Paid ✓",""),IF(O199="","Send "&amp;M199&amp;" now",IF(CODE(M199)&gt;CODE(O199),"Send "&amp;M199&amp;" now","Up to date")))</f>
        <v/>
      </c>
      <c r="R199" s="22"/>
      <c r="S199" s="29" t="n">
        <f aca="false">IF(LEFT(Q199,4)="Send",1,0)</f>
        <v>0</v>
      </c>
      <c r="T199" s="29" t="str">
        <f aca="false">IF(S199=0,"",COUNTIFS($S$5:$S$204,1,$F$5:$F$204,"&lt;"&amp;F199)+COUNTIFS($S$5:$S199,1,$F$5:$F199,F199))</f>
        <v/>
      </c>
    </row>
    <row r="200" customFormat="false" ht="15" hidden="false" customHeight="false" outlineLevel="0" collapsed="false">
      <c r="A200" s="22"/>
      <c r="B200" s="22"/>
      <c r="C200" s="22"/>
      <c r="D200" s="26"/>
      <c r="E200" s="22"/>
      <c r="F200" s="28" t="str">
        <f aca="false">IF(D200="","",D200+IF(E200="",Settings!$C$7,E200))</f>
        <v/>
      </c>
      <c r="G200" s="23"/>
      <c r="H200" s="23"/>
      <c r="I200" s="26"/>
      <c r="J200" s="25" t="str">
        <f aca="false">IF(G200="","",G200-N(H200))</f>
        <v/>
      </c>
      <c r="K200" s="21" t="str">
        <f aca="false">IF(OR(G200="",F200=""),"",IF(J200&lt;=0,"Paid",IF(Settings!$C$6&lt;F200,IF(N(H200)&gt;0,"Part-paid","Not due"),IF(Settings!$C$6=F200,"Due today","Overdue"))))</f>
        <v/>
      </c>
      <c r="L200" s="27" t="str">
        <f aca="false">IF(OR(G200="",F200=""),"",IF(J200&lt;=0,"",MAX(0,Settings!$C$6-F200)))</f>
        <v/>
      </c>
      <c r="M200" s="31" t="str">
        <f aca="false">IF(OR(G200="",F200=""),"",IF(J200&lt;=0,"Paid",IF(Settings!$C$6&gt;=F200+Settings!$P$18,"E",IF(Settings!$C$6&gt;=F200+Settings!$P$17,"D",IF(Settings!$C$6&gt;=F200+Settings!$P$16,"C",IF(Settings!$C$6&gt;=F200+Settings!$P$15,"B",IF(Settings!$C$6&gt;=F200+Settings!$P$14,"A","—")))))))</f>
        <v/>
      </c>
      <c r="N200" s="28" t="str">
        <f aca="false">IF(OR(G200="",F200="",J200&lt;=0),"",IF(Settings!$C$6&lt;F200+Settings!$P$14,F200+Settings!$P$14,IF(Settings!$C$6&lt;F200+Settings!$P$15,F200+Settings!$P$15,IF(Settings!$C$6&lt;F200+Settings!$P$16,F200+Settings!$P$16,IF(Settings!$C$6&lt;F200+Settings!$P$17,F200+Settings!$P$17,IF(Settings!$C$6&lt;F200+Settings!$P$18,F200+Settings!$P$18,""))))))</f>
        <v/>
      </c>
      <c r="O200" s="22"/>
      <c r="P200" s="26"/>
      <c r="Q200" s="21" t="str">
        <f aca="false">IF(OR(M200="",M200="Paid",M200="—"),IF(M200="Paid","Paid ✓",""),IF(O200="","Send "&amp;M200&amp;" now",IF(CODE(M200)&gt;CODE(O200),"Send "&amp;M200&amp;" now","Up to date")))</f>
        <v/>
      </c>
      <c r="R200" s="22"/>
      <c r="S200" s="29" t="n">
        <f aca="false">IF(LEFT(Q200,4)="Send",1,0)</f>
        <v>0</v>
      </c>
      <c r="T200" s="29" t="str">
        <f aca="false">IF(S200=0,"",COUNTIFS($S$5:$S$204,1,$F$5:$F$204,"&lt;"&amp;F200)+COUNTIFS($S$5:$S200,1,$F$5:$F200,F200))</f>
        <v/>
      </c>
    </row>
    <row r="201" customFormat="false" ht="15" hidden="false" customHeight="false" outlineLevel="0" collapsed="false">
      <c r="A201" s="22"/>
      <c r="B201" s="22"/>
      <c r="C201" s="22"/>
      <c r="D201" s="26"/>
      <c r="E201" s="22"/>
      <c r="F201" s="28" t="str">
        <f aca="false">IF(D201="","",D201+IF(E201="",Settings!$C$7,E201))</f>
        <v/>
      </c>
      <c r="G201" s="23"/>
      <c r="H201" s="23"/>
      <c r="I201" s="26"/>
      <c r="J201" s="25" t="str">
        <f aca="false">IF(G201="","",G201-N(H201))</f>
        <v/>
      </c>
      <c r="K201" s="21" t="str">
        <f aca="false">IF(OR(G201="",F201=""),"",IF(J201&lt;=0,"Paid",IF(Settings!$C$6&lt;F201,IF(N(H201)&gt;0,"Part-paid","Not due"),IF(Settings!$C$6=F201,"Due today","Overdue"))))</f>
        <v/>
      </c>
      <c r="L201" s="27" t="str">
        <f aca="false">IF(OR(G201="",F201=""),"",IF(J201&lt;=0,"",MAX(0,Settings!$C$6-F201)))</f>
        <v/>
      </c>
      <c r="M201" s="31" t="str">
        <f aca="false">IF(OR(G201="",F201=""),"",IF(J201&lt;=0,"Paid",IF(Settings!$C$6&gt;=F201+Settings!$P$18,"E",IF(Settings!$C$6&gt;=F201+Settings!$P$17,"D",IF(Settings!$C$6&gt;=F201+Settings!$P$16,"C",IF(Settings!$C$6&gt;=F201+Settings!$P$15,"B",IF(Settings!$C$6&gt;=F201+Settings!$P$14,"A","—")))))))</f>
        <v/>
      </c>
      <c r="N201" s="28" t="str">
        <f aca="false">IF(OR(G201="",F201="",J201&lt;=0),"",IF(Settings!$C$6&lt;F201+Settings!$P$14,F201+Settings!$P$14,IF(Settings!$C$6&lt;F201+Settings!$P$15,F201+Settings!$P$15,IF(Settings!$C$6&lt;F201+Settings!$P$16,F201+Settings!$P$16,IF(Settings!$C$6&lt;F201+Settings!$P$17,F201+Settings!$P$17,IF(Settings!$C$6&lt;F201+Settings!$P$18,F201+Settings!$P$18,""))))))</f>
        <v/>
      </c>
      <c r="O201" s="22"/>
      <c r="P201" s="26"/>
      <c r="Q201" s="21" t="str">
        <f aca="false">IF(OR(M201="",M201="Paid",M201="—"),IF(M201="Paid","Paid ✓",""),IF(O201="","Send "&amp;M201&amp;" now",IF(CODE(M201)&gt;CODE(O201),"Send "&amp;M201&amp;" now","Up to date")))</f>
        <v/>
      </c>
      <c r="R201" s="22"/>
      <c r="S201" s="29" t="n">
        <f aca="false">IF(LEFT(Q201,4)="Send",1,0)</f>
        <v>0</v>
      </c>
      <c r="T201" s="29" t="str">
        <f aca="false">IF(S201=0,"",COUNTIFS($S$5:$S$204,1,$F$5:$F$204,"&lt;"&amp;F201)+COUNTIFS($S$5:$S201,1,$F$5:$F201,F201))</f>
        <v/>
      </c>
    </row>
    <row r="202" customFormat="false" ht="15" hidden="false" customHeight="false" outlineLevel="0" collapsed="false">
      <c r="A202" s="22"/>
      <c r="B202" s="22"/>
      <c r="C202" s="22"/>
      <c r="D202" s="26"/>
      <c r="E202" s="22"/>
      <c r="F202" s="28" t="str">
        <f aca="false">IF(D202="","",D202+IF(E202="",Settings!$C$7,E202))</f>
        <v/>
      </c>
      <c r="G202" s="23"/>
      <c r="H202" s="23"/>
      <c r="I202" s="26"/>
      <c r="J202" s="25" t="str">
        <f aca="false">IF(G202="","",G202-N(H202))</f>
        <v/>
      </c>
      <c r="K202" s="21" t="str">
        <f aca="false">IF(OR(G202="",F202=""),"",IF(J202&lt;=0,"Paid",IF(Settings!$C$6&lt;F202,IF(N(H202)&gt;0,"Part-paid","Not due"),IF(Settings!$C$6=F202,"Due today","Overdue"))))</f>
        <v/>
      </c>
      <c r="L202" s="27" t="str">
        <f aca="false">IF(OR(G202="",F202=""),"",IF(J202&lt;=0,"",MAX(0,Settings!$C$6-F202)))</f>
        <v/>
      </c>
      <c r="M202" s="31" t="str">
        <f aca="false">IF(OR(G202="",F202=""),"",IF(J202&lt;=0,"Paid",IF(Settings!$C$6&gt;=F202+Settings!$P$18,"E",IF(Settings!$C$6&gt;=F202+Settings!$P$17,"D",IF(Settings!$C$6&gt;=F202+Settings!$P$16,"C",IF(Settings!$C$6&gt;=F202+Settings!$P$15,"B",IF(Settings!$C$6&gt;=F202+Settings!$P$14,"A","—")))))))</f>
        <v/>
      </c>
      <c r="N202" s="28" t="str">
        <f aca="false">IF(OR(G202="",F202="",J202&lt;=0),"",IF(Settings!$C$6&lt;F202+Settings!$P$14,F202+Settings!$P$14,IF(Settings!$C$6&lt;F202+Settings!$P$15,F202+Settings!$P$15,IF(Settings!$C$6&lt;F202+Settings!$P$16,F202+Settings!$P$16,IF(Settings!$C$6&lt;F202+Settings!$P$17,F202+Settings!$P$17,IF(Settings!$C$6&lt;F202+Settings!$P$18,F202+Settings!$P$18,""))))))</f>
        <v/>
      </c>
      <c r="O202" s="22"/>
      <c r="P202" s="26"/>
      <c r="Q202" s="21" t="str">
        <f aca="false">IF(OR(M202="",M202="Paid",M202="—"),IF(M202="Paid","Paid ✓",""),IF(O202="","Send "&amp;M202&amp;" now",IF(CODE(M202)&gt;CODE(O202),"Send "&amp;M202&amp;" now","Up to date")))</f>
        <v/>
      </c>
      <c r="R202" s="22"/>
      <c r="S202" s="29" t="n">
        <f aca="false">IF(LEFT(Q202,4)="Send",1,0)</f>
        <v>0</v>
      </c>
      <c r="T202" s="29" t="str">
        <f aca="false">IF(S202=0,"",COUNTIFS($S$5:$S$204,1,$F$5:$F$204,"&lt;"&amp;F202)+COUNTIFS($S$5:$S202,1,$F$5:$F202,F202))</f>
        <v/>
      </c>
    </row>
    <row r="203" customFormat="false" ht="15" hidden="false" customHeight="false" outlineLevel="0" collapsed="false">
      <c r="A203" s="22"/>
      <c r="B203" s="22"/>
      <c r="C203" s="22"/>
      <c r="D203" s="26"/>
      <c r="E203" s="22"/>
      <c r="F203" s="28" t="str">
        <f aca="false">IF(D203="","",D203+IF(E203="",Settings!$C$7,E203))</f>
        <v/>
      </c>
      <c r="G203" s="23"/>
      <c r="H203" s="23"/>
      <c r="I203" s="26"/>
      <c r="J203" s="25" t="str">
        <f aca="false">IF(G203="","",G203-N(H203))</f>
        <v/>
      </c>
      <c r="K203" s="21" t="str">
        <f aca="false">IF(OR(G203="",F203=""),"",IF(J203&lt;=0,"Paid",IF(Settings!$C$6&lt;F203,IF(N(H203)&gt;0,"Part-paid","Not due"),IF(Settings!$C$6=F203,"Due today","Overdue"))))</f>
        <v/>
      </c>
      <c r="L203" s="27" t="str">
        <f aca="false">IF(OR(G203="",F203=""),"",IF(J203&lt;=0,"",MAX(0,Settings!$C$6-F203)))</f>
        <v/>
      </c>
      <c r="M203" s="31" t="str">
        <f aca="false">IF(OR(G203="",F203=""),"",IF(J203&lt;=0,"Paid",IF(Settings!$C$6&gt;=F203+Settings!$P$18,"E",IF(Settings!$C$6&gt;=F203+Settings!$P$17,"D",IF(Settings!$C$6&gt;=F203+Settings!$P$16,"C",IF(Settings!$C$6&gt;=F203+Settings!$P$15,"B",IF(Settings!$C$6&gt;=F203+Settings!$P$14,"A","—")))))))</f>
        <v/>
      </c>
      <c r="N203" s="28" t="str">
        <f aca="false">IF(OR(G203="",F203="",J203&lt;=0),"",IF(Settings!$C$6&lt;F203+Settings!$P$14,F203+Settings!$P$14,IF(Settings!$C$6&lt;F203+Settings!$P$15,F203+Settings!$P$15,IF(Settings!$C$6&lt;F203+Settings!$P$16,F203+Settings!$P$16,IF(Settings!$C$6&lt;F203+Settings!$P$17,F203+Settings!$P$17,IF(Settings!$C$6&lt;F203+Settings!$P$18,F203+Settings!$P$18,""))))))</f>
        <v/>
      </c>
      <c r="O203" s="22"/>
      <c r="P203" s="26"/>
      <c r="Q203" s="21" t="str">
        <f aca="false">IF(OR(M203="",M203="Paid",M203="—"),IF(M203="Paid","Paid ✓",""),IF(O203="","Send "&amp;M203&amp;" now",IF(CODE(M203)&gt;CODE(O203),"Send "&amp;M203&amp;" now","Up to date")))</f>
        <v/>
      </c>
      <c r="R203" s="22"/>
      <c r="S203" s="29" t="n">
        <f aca="false">IF(LEFT(Q203,4)="Send",1,0)</f>
        <v>0</v>
      </c>
      <c r="T203" s="29" t="str">
        <f aca="false">IF(S203=0,"",COUNTIFS($S$5:$S$204,1,$F$5:$F$204,"&lt;"&amp;F203)+COUNTIFS($S$5:$S203,1,$F$5:$F203,F203))</f>
        <v/>
      </c>
    </row>
    <row r="204" customFormat="false" ht="15" hidden="false" customHeight="false" outlineLevel="0" collapsed="false">
      <c r="A204" s="22"/>
      <c r="B204" s="22"/>
      <c r="C204" s="22"/>
      <c r="D204" s="26"/>
      <c r="E204" s="22"/>
      <c r="F204" s="28" t="str">
        <f aca="false">IF(D204="","",D204+IF(E204="",Settings!$C$7,E204))</f>
        <v/>
      </c>
      <c r="G204" s="23"/>
      <c r="H204" s="23"/>
      <c r="I204" s="26"/>
      <c r="J204" s="25" t="str">
        <f aca="false">IF(G204="","",G204-N(H204))</f>
        <v/>
      </c>
      <c r="K204" s="21" t="str">
        <f aca="false">IF(OR(G204="",F204=""),"",IF(J204&lt;=0,"Paid",IF(Settings!$C$6&lt;F204,IF(N(H204)&gt;0,"Part-paid","Not due"),IF(Settings!$C$6=F204,"Due today","Overdue"))))</f>
        <v/>
      </c>
      <c r="L204" s="27" t="str">
        <f aca="false">IF(OR(G204="",F204=""),"",IF(J204&lt;=0,"",MAX(0,Settings!$C$6-F204)))</f>
        <v/>
      </c>
      <c r="M204" s="31" t="str">
        <f aca="false">IF(OR(G204="",F204=""),"",IF(J204&lt;=0,"Paid",IF(Settings!$C$6&gt;=F204+Settings!$P$18,"E",IF(Settings!$C$6&gt;=F204+Settings!$P$17,"D",IF(Settings!$C$6&gt;=F204+Settings!$P$16,"C",IF(Settings!$C$6&gt;=F204+Settings!$P$15,"B",IF(Settings!$C$6&gt;=F204+Settings!$P$14,"A","—")))))))</f>
        <v/>
      </c>
      <c r="N204" s="28" t="str">
        <f aca="false">IF(OR(G204="",F204="",J204&lt;=0),"",IF(Settings!$C$6&lt;F204+Settings!$P$14,F204+Settings!$P$14,IF(Settings!$C$6&lt;F204+Settings!$P$15,F204+Settings!$P$15,IF(Settings!$C$6&lt;F204+Settings!$P$16,F204+Settings!$P$16,IF(Settings!$C$6&lt;F204+Settings!$P$17,F204+Settings!$P$17,IF(Settings!$C$6&lt;F204+Settings!$P$18,F204+Settings!$P$18,""))))))</f>
        <v/>
      </c>
      <c r="O204" s="22"/>
      <c r="P204" s="26"/>
      <c r="Q204" s="21" t="str">
        <f aca="false">IF(OR(M204="",M204="Paid",M204="—"),IF(M204="Paid","Paid ✓",""),IF(O204="","Send "&amp;M204&amp;" now",IF(CODE(M204)&gt;CODE(O204),"Send "&amp;M204&amp;" now","Up to date")))</f>
        <v/>
      </c>
      <c r="R204" s="22"/>
      <c r="S204" s="29" t="n">
        <f aca="false">IF(LEFT(Q204,4)="Send",1,0)</f>
        <v>0</v>
      </c>
      <c r="T204" s="29" t="str">
        <f aca="false">IF(S204=0,"",COUNTIFS($S$5:$S$204,1,$F$5:$F$204,"&lt;"&amp;F204)+COUNTIFS($S$5:$S204,1,$F$5:$F204,F204))</f>
        <v/>
      </c>
    </row>
  </sheetData>
  <autoFilter ref="A4:R204"/>
  <conditionalFormatting sqref="K5:K204">
    <cfRule type="expression" priority="2" aboveAverage="0" equalAverage="0" bottom="0" percent="0" rank="0" text="" dxfId="9">
      <formula>K5="Overdue"</formula>
    </cfRule>
    <cfRule type="expression" priority="3" aboveAverage="0" equalAverage="0" bottom="0" percent="0" rank="0" text="" dxfId="13">
      <formula>K5="Due today"</formula>
    </cfRule>
    <cfRule type="expression" priority="4" aboveAverage="0" equalAverage="0" bottom="0" percent="0" rank="0" text="" dxfId="14">
      <formula>K5="Paid"</formula>
    </cfRule>
  </conditionalFormatting>
  <conditionalFormatting sqref="Q5:Q204">
    <cfRule type="expression" priority="5" aboveAverage="0" equalAverage="0" bottom="0" percent="0" rank="0" text="" dxfId="9">
      <formula>LEFT(Q5,4)="Send"</formula>
    </cfRule>
  </conditionalFormatting>
  <dataValidations count="2">
    <dataValidation allowBlank="true" error="Please pick a value from the list (edit lists on the Settings tab)." errorStyle="stop" errorTitle="Not in list" operator="between" prompt="Pick a client from the Clients &amp; Pipeline tab." promptTitle="Choose from the list" showDropDown="false" showErrorMessage="true" showInputMessage="true" sqref="B5:B204" type="list">
      <formula1>'Clients &amp; Pipeline'!$B$5:$B$154</formula1>
      <formula2>0</formula2>
    </dataValidation>
    <dataValidation allowBlank="true" error="Please pick a value from the list (edit lists on the Settings tab)." errorStyle="stop" errorTitle="Not in list" operator="between" prompt="After you send a reminder, record its stage (A–E) and the date." promptTitle="Choose from the list" showDropDown="false" showErrorMessage="true" showInputMessage="true" sqref="O5:O204" type="list">
      <formula1>"A,B,C,D,E"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Q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7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3" min="12" style="0" width="12"/>
    <col collapsed="false" customWidth="true" hidden="false" outlineLevel="0" max="14" min="14" style="0" width="30"/>
    <col collapsed="false" customWidth="true" hidden="false" outlineLevel="0" max="15" min="15" style="0" width="3"/>
    <col collapsed="false" customWidth="true" hidden="false" outlineLevel="0" max="16" min="16" style="0" width="30"/>
    <col collapsed="false" customWidth="true" hidden="false" outlineLevel="0" max="17" min="17" style="0" width="12"/>
  </cols>
  <sheetData>
    <row r="1" customFormat="false" ht="30" hidden="false" customHeight="true" outlineLevel="0" collapsed="false">
      <c r="A1" s="7" t="s">
        <v>182</v>
      </c>
    </row>
    <row r="2" customFormat="false" ht="15" hidden="false" customHeight="false" outlineLevel="0" collapsed="false">
      <c r="A2" s="2" t="s">
        <v>183</v>
      </c>
    </row>
    <row r="3" customFormat="false" ht="15" hidden="false" customHeight="false" outlineLevel="0" collapsed="false">
      <c r="A3" s="19" t="s">
        <v>58</v>
      </c>
    </row>
    <row r="4" customFormat="false" ht="33.75" hidden="false" customHeight="true" outlineLevel="0" collapsed="false">
      <c r="A4" s="13" t="s">
        <v>48</v>
      </c>
      <c r="B4" s="13" t="s">
        <v>184</v>
      </c>
      <c r="C4" s="13" t="s">
        <v>185</v>
      </c>
      <c r="D4" s="13" t="s">
        <v>186</v>
      </c>
      <c r="E4" s="13" t="s">
        <v>49</v>
      </c>
      <c r="F4" s="13" t="s">
        <v>187</v>
      </c>
      <c r="G4" s="13" t="s">
        <v>188</v>
      </c>
      <c r="H4" s="13" t="s">
        <v>189</v>
      </c>
      <c r="I4" s="13" t="s">
        <v>190</v>
      </c>
      <c r="J4" s="13" t="s">
        <v>51</v>
      </c>
      <c r="K4" s="13" t="s">
        <v>191</v>
      </c>
      <c r="L4" s="13" t="s">
        <v>192</v>
      </c>
      <c r="M4" s="13" t="s">
        <v>193</v>
      </c>
      <c r="N4" s="13" t="s">
        <v>76</v>
      </c>
      <c r="P4" s="13" t="s">
        <v>194</v>
      </c>
      <c r="Q4" s="13" t="s">
        <v>54</v>
      </c>
    </row>
    <row r="5" customFormat="false" ht="15" hidden="false" customHeight="false" outlineLevel="0" collapsed="false">
      <c r="A5" s="22" t="s">
        <v>195</v>
      </c>
      <c r="B5" s="22" t="s">
        <v>196</v>
      </c>
      <c r="C5" s="22" t="n">
        <v>16</v>
      </c>
      <c r="D5" s="22" t="n">
        <v>20</v>
      </c>
      <c r="E5" s="32" t="n">
        <f aca="false">IF(OR(C5="",D5=""),"",C5*D5)</f>
        <v>320</v>
      </c>
      <c r="F5" s="22" t="n">
        <v>3</v>
      </c>
      <c r="G5" s="22" t="n">
        <v>1</v>
      </c>
      <c r="H5" s="32" t="n">
        <f aca="false">IF(OR(E5="",F5="",G5=""),"",E5*F5/G5)</f>
        <v>960</v>
      </c>
      <c r="I5" s="21" t="n">
        <f aca="false">IF(H5="","",RANK(H5,$H$5:$H$44,0)+COUNTIF($H$5:H5,H5)-1)</f>
        <v>1</v>
      </c>
      <c r="J5" s="22" t="s">
        <v>197</v>
      </c>
      <c r="K5" s="22" t="s">
        <v>198</v>
      </c>
      <c r="L5" s="22"/>
      <c r="M5" s="32" t="str">
        <f aca="false">IF(OR(E5="",L5=""),"",E5-L5)</f>
        <v/>
      </c>
      <c r="N5" s="22" t="s">
        <v>199</v>
      </c>
      <c r="P5" s="33" t="s">
        <v>200</v>
      </c>
      <c r="Q5" s="32" t="n">
        <f aca="false">SUM(E5:E44)</f>
        <v>1400</v>
      </c>
    </row>
    <row r="6" customFormat="false" ht="15" hidden="false" customHeight="false" outlineLevel="0" collapsed="false">
      <c r="A6" s="22" t="s">
        <v>201</v>
      </c>
      <c r="B6" s="22" t="s">
        <v>202</v>
      </c>
      <c r="C6" s="22" t="n">
        <v>8</v>
      </c>
      <c r="D6" s="22" t="n">
        <v>30</v>
      </c>
      <c r="E6" s="32" t="n">
        <f aca="false">IF(OR(C6="",D6=""),"",C6*D6)</f>
        <v>240</v>
      </c>
      <c r="F6" s="22" t="n">
        <v>2</v>
      </c>
      <c r="G6" s="22" t="n">
        <v>1</v>
      </c>
      <c r="H6" s="32" t="n">
        <f aca="false">IF(OR(E6="",F6="",G6=""),"",E6*F6/G6)</f>
        <v>480</v>
      </c>
      <c r="I6" s="21" t="n">
        <f aca="false">IF(H6="","",RANK(H6,$H$5:$H$44,0)+COUNTIF($H$5:H6,H6)-1)</f>
        <v>2</v>
      </c>
      <c r="J6" s="22" t="s">
        <v>203</v>
      </c>
      <c r="K6" s="22" t="s">
        <v>204</v>
      </c>
      <c r="L6" s="22"/>
      <c r="M6" s="32" t="str">
        <f aca="false">IF(OR(E6="",L6=""),"",E6-L6)</f>
        <v/>
      </c>
      <c r="N6" s="22" t="s">
        <v>86</v>
      </c>
      <c r="P6" s="33" t="s">
        <v>36</v>
      </c>
      <c r="Q6" s="34" t="n">
        <f aca="false">Q5/60</f>
        <v>23.3333333333333</v>
      </c>
    </row>
    <row r="7" customFormat="false" ht="23.85" hidden="false" customHeight="false" outlineLevel="0" collapsed="false">
      <c r="A7" s="22" t="s">
        <v>205</v>
      </c>
      <c r="B7" s="22" t="s">
        <v>206</v>
      </c>
      <c r="C7" s="22" t="n">
        <v>8</v>
      </c>
      <c r="D7" s="22" t="n">
        <v>15</v>
      </c>
      <c r="E7" s="32" t="n">
        <f aca="false">IF(OR(C7="",D7=""),"",C7*D7)</f>
        <v>120</v>
      </c>
      <c r="F7" s="22" t="n">
        <v>3</v>
      </c>
      <c r="G7" s="22" t="n">
        <v>1</v>
      </c>
      <c r="H7" s="32" t="n">
        <f aca="false">IF(OR(E7="",F7="",G7=""),"",E7*F7/G7)</f>
        <v>360</v>
      </c>
      <c r="I7" s="21" t="n">
        <f aca="false">IF(H7="","",RANK(H7,$H$5:$H$44,0)+COUNTIF($H$5:H7,H7)-1)</f>
        <v>3</v>
      </c>
      <c r="J7" s="22" t="s">
        <v>197</v>
      </c>
      <c r="K7" s="22" t="s">
        <v>207</v>
      </c>
      <c r="L7" s="22"/>
      <c r="M7" s="32" t="str">
        <f aca="false">IF(OR(E7="",L7=""),"",E7-L7)</f>
        <v/>
      </c>
      <c r="N7" s="22" t="s">
        <v>86</v>
      </c>
      <c r="P7" s="33" t="s">
        <v>208</v>
      </c>
      <c r="Q7" s="34" t="str">
        <f aca="false">IF(COUNT(M5:M44)=0,"",(Q5-SUM(M5:M44))/60)</f>
        <v/>
      </c>
    </row>
    <row r="8" customFormat="false" ht="15" hidden="false" customHeight="false" outlineLevel="0" collapsed="false">
      <c r="A8" s="22" t="s">
        <v>209</v>
      </c>
      <c r="B8" s="22" t="s">
        <v>210</v>
      </c>
      <c r="C8" s="22" t="n">
        <v>2</v>
      </c>
      <c r="D8" s="22" t="n">
        <v>60</v>
      </c>
      <c r="E8" s="32" t="n">
        <f aca="false">IF(OR(C8="",D8=""),"",C8*D8)</f>
        <v>120</v>
      </c>
      <c r="F8" s="22" t="n">
        <v>3</v>
      </c>
      <c r="G8" s="22" t="n">
        <v>1</v>
      </c>
      <c r="H8" s="32" t="n">
        <f aca="false">IF(OR(E8="",F8="",G8=""),"",E8*F8/G8)</f>
        <v>360</v>
      </c>
      <c r="I8" s="21" t="n">
        <f aca="false">IF(H8="","",RANK(H8,$H$5:$H$44,0)+COUNTIF($H$5:H8,H8)-1)</f>
        <v>4</v>
      </c>
      <c r="J8" s="22" t="s">
        <v>197</v>
      </c>
      <c r="K8" s="22" t="s">
        <v>211</v>
      </c>
      <c r="L8" s="22"/>
      <c r="M8" s="32" t="str">
        <f aca="false">IF(OR(E8="",L8=""),"",E8-L8)</f>
        <v/>
      </c>
      <c r="N8" s="22" t="s">
        <v>86</v>
      </c>
      <c r="P8" s="33" t="s">
        <v>212</v>
      </c>
      <c r="Q8" s="34" t="str">
        <f aca="false">IF(COUNT(M5:M44)=0,"",SUM(M5:M44)/60)</f>
        <v/>
      </c>
    </row>
    <row r="9" customFormat="false" ht="15" hidden="false" customHeight="false" outlineLevel="0" collapsed="false">
      <c r="A9" s="22" t="s">
        <v>213</v>
      </c>
      <c r="B9" s="22" t="s">
        <v>206</v>
      </c>
      <c r="C9" s="22" t="n">
        <v>3</v>
      </c>
      <c r="D9" s="22" t="n">
        <v>90</v>
      </c>
      <c r="E9" s="32" t="n">
        <f aca="false">IF(OR(C9="",D9=""),"",C9*D9)</f>
        <v>270</v>
      </c>
      <c r="F9" s="22" t="n">
        <v>2</v>
      </c>
      <c r="G9" s="22" t="n">
        <v>2</v>
      </c>
      <c r="H9" s="32" t="n">
        <f aca="false">IF(OR(E9="",F9="",G9=""),"",E9*F9/G9)</f>
        <v>270</v>
      </c>
      <c r="I9" s="21" t="n">
        <f aca="false">IF(H9="","",RANK(H9,$H$5:$H$44,0)+COUNTIF($H$5:H9,H9)-1)</f>
        <v>5</v>
      </c>
      <c r="J9" s="22" t="s">
        <v>203</v>
      </c>
      <c r="K9" s="22" t="s">
        <v>214</v>
      </c>
      <c r="L9" s="22"/>
      <c r="M9" s="32" t="str">
        <f aca="false">IF(OR(E9="",L9=""),"",E9-L9)</f>
        <v/>
      </c>
      <c r="N9" s="22" t="s">
        <v>86</v>
      </c>
      <c r="P9" s="33" t="s">
        <v>215</v>
      </c>
      <c r="Q9" s="27" t="n">
        <f aca="false">COUNTA(A5:A44)</f>
        <v>8</v>
      </c>
    </row>
    <row r="10" customFormat="false" ht="15" hidden="false" customHeight="false" outlineLevel="0" collapsed="false">
      <c r="A10" s="22" t="s">
        <v>216</v>
      </c>
      <c r="B10" s="22" t="s">
        <v>196</v>
      </c>
      <c r="C10" s="22" t="n">
        <v>12</v>
      </c>
      <c r="D10" s="22" t="n">
        <v>15</v>
      </c>
      <c r="E10" s="32" t="n">
        <f aca="false">IF(OR(C10="",D10=""),"",C10*D10)</f>
        <v>180</v>
      </c>
      <c r="F10" s="22" t="n">
        <v>3</v>
      </c>
      <c r="G10" s="22" t="n">
        <v>2</v>
      </c>
      <c r="H10" s="32" t="n">
        <f aca="false">IF(OR(E10="",F10="",G10=""),"",E10*F10/G10)</f>
        <v>270</v>
      </c>
      <c r="I10" s="21" t="n">
        <f aca="false">IF(H10="","",RANK(H10,$H$5:$H$44,0)+COUNTIF($H$5:H10,H10)-1)</f>
        <v>6</v>
      </c>
      <c r="J10" s="22" t="s">
        <v>203</v>
      </c>
      <c r="K10" s="22" t="s">
        <v>217</v>
      </c>
      <c r="L10" s="22"/>
      <c r="M10" s="32" t="str">
        <f aca="false">IF(OR(E10="",L10=""),"",E10-L10)</f>
        <v/>
      </c>
      <c r="N10" s="22" t="s">
        <v>86</v>
      </c>
    </row>
    <row r="11" customFormat="false" ht="48" hidden="false" customHeight="true" outlineLevel="0" collapsed="false">
      <c r="A11" s="22" t="s">
        <v>218</v>
      </c>
      <c r="B11" s="22" t="s">
        <v>219</v>
      </c>
      <c r="C11" s="22" t="n">
        <v>6</v>
      </c>
      <c r="D11" s="22" t="n">
        <v>15</v>
      </c>
      <c r="E11" s="32" t="n">
        <f aca="false">IF(OR(C11="",D11=""),"",C11*D11)</f>
        <v>90</v>
      </c>
      <c r="F11" s="22" t="n">
        <v>3</v>
      </c>
      <c r="G11" s="22" t="n">
        <v>2</v>
      </c>
      <c r="H11" s="32" t="n">
        <f aca="false">IF(OR(E11="",F11="",G11=""),"",E11*F11/G11)</f>
        <v>135</v>
      </c>
      <c r="I11" s="21" t="n">
        <f aca="false">IF(H11="","",RANK(H11,$H$5:$H$44,0)+COUNTIF($H$5:H11,H11)-1)</f>
        <v>7</v>
      </c>
      <c r="J11" s="22" t="s">
        <v>197</v>
      </c>
      <c r="K11" s="22"/>
      <c r="L11" s="22"/>
      <c r="M11" s="32" t="str">
        <f aca="false">IF(OR(E11="",L11=""),"",E11-L11)</f>
        <v/>
      </c>
      <c r="N11" s="22" t="s">
        <v>86</v>
      </c>
      <c r="P11" s="35" t="s">
        <v>220</v>
      </c>
    </row>
    <row r="12" customFormat="false" ht="15" hidden="false" customHeight="false" outlineLevel="0" collapsed="false">
      <c r="A12" s="22" t="s">
        <v>221</v>
      </c>
      <c r="B12" s="22" t="s">
        <v>219</v>
      </c>
      <c r="C12" s="22" t="n">
        <v>3</v>
      </c>
      <c r="D12" s="22" t="n">
        <v>20</v>
      </c>
      <c r="E12" s="32" t="n">
        <f aca="false">IF(OR(C12="",D12=""),"",C12*D12)</f>
        <v>60</v>
      </c>
      <c r="F12" s="22" t="n">
        <v>3</v>
      </c>
      <c r="G12" s="22" t="n">
        <v>2</v>
      </c>
      <c r="H12" s="32" t="n">
        <f aca="false">IF(OR(E12="",F12="",G12=""),"",E12*F12/G12)</f>
        <v>90</v>
      </c>
      <c r="I12" s="21" t="n">
        <f aca="false">IF(H12="","",RANK(H12,$H$5:$H$44,0)+COUNTIF($H$5:H12,H12)-1)</f>
        <v>8</v>
      </c>
      <c r="J12" s="22" t="s">
        <v>197</v>
      </c>
      <c r="K12" s="22" t="s">
        <v>222</v>
      </c>
      <c r="L12" s="22"/>
      <c r="M12" s="32" t="str">
        <f aca="false">IF(OR(E12="",L12=""),"",E12-L12)</f>
        <v/>
      </c>
      <c r="N12" s="22" t="s">
        <v>86</v>
      </c>
    </row>
    <row r="13" customFormat="false" ht="15" hidden="false" customHeight="false" outlineLevel="0" collapsed="false">
      <c r="A13" s="22"/>
      <c r="B13" s="22"/>
      <c r="C13" s="22"/>
      <c r="D13" s="22"/>
      <c r="E13" s="32" t="str">
        <f aca="false">IF(OR(C13="",D13=""),"",C13*D13)</f>
        <v/>
      </c>
      <c r="F13" s="22"/>
      <c r="G13" s="22"/>
      <c r="H13" s="32" t="str">
        <f aca="false">IF(OR(E13="",F13="",G13=""),"",E13*F13/G13)</f>
        <v/>
      </c>
      <c r="I13" s="21" t="str">
        <f aca="false">IF(H13="","",RANK(H13,$H$5:$H$44,0)+COUNTIF($H$5:H13,H13)-1)</f>
        <v/>
      </c>
      <c r="J13" s="22"/>
      <c r="K13" s="22"/>
      <c r="L13" s="22"/>
      <c r="M13" s="32" t="str">
        <f aca="false">IF(OR(E13="",L13=""),"",E13-L13)</f>
        <v/>
      </c>
      <c r="N13" s="22"/>
    </row>
    <row r="14" customFormat="false" ht="15" hidden="false" customHeight="false" outlineLevel="0" collapsed="false">
      <c r="A14" s="22"/>
      <c r="B14" s="22"/>
      <c r="C14" s="22"/>
      <c r="D14" s="22"/>
      <c r="E14" s="32" t="str">
        <f aca="false">IF(OR(C14="",D14=""),"",C14*D14)</f>
        <v/>
      </c>
      <c r="F14" s="22"/>
      <c r="G14" s="22"/>
      <c r="H14" s="32" t="str">
        <f aca="false">IF(OR(E14="",F14="",G14=""),"",E14*F14/G14)</f>
        <v/>
      </c>
      <c r="I14" s="21" t="str">
        <f aca="false">IF(H14="","",RANK(H14,$H$5:$H$44,0)+COUNTIF($H$5:H14,H14)-1)</f>
        <v/>
      </c>
      <c r="J14" s="22"/>
      <c r="K14" s="22"/>
      <c r="L14" s="22"/>
      <c r="M14" s="32" t="str">
        <f aca="false">IF(OR(E14="",L14=""),"",E14-L14)</f>
        <v/>
      </c>
      <c r="N14" s="22"/>
    </row>
    <row r="15" customFormat="false" ht="15" hidden="false" customHeight="false" outlineLevel="0" collapsed="false">
      <c r="A15" s="22"/>
      <c r="B15" s="22"/>
      <c r="C15" s="22"/>
      <c r="D15" s="22"/>
      <c r="E15" s="32" t="str">
        <f aca="false">IF(OR(C15="",D15=""),"",C15*D15)</f>
        <v/>
      </c>
      <c r="F15" s="22"/>
      <c r="G15" s="22"/>
      <c r="H15" s="32" t="str">
        <f aca="false">IF(OR(E15="",F15="",G15=""),"",E15*F15/G15)</f>
        <v/>
      </c>
      <c r="I15" s="21" t="str">
        <f aca="false">IF(H15="","",RANK(H15,$H$5:$H$44,0)+COUNTIF($H$5:H15,H15)-1)</f>
        <v/>
      </c>
      <c r="J15" s="22"/>
      <c r="K15" s="22"/>
      <c r="L15" s="22"/>
      <c r="M15" s="32" t="str">
        <f aca="false">IF(OR(E15="",L15=""),"",E15-L15)</f>
        <v/>
      </c>
      <c r="N15" s="22"/>
    </row>
    <row r="16" customFormat="false" ht="15" hidden="false" customHeight="false" outlineLevel="0" collapsed="false">
      <c r="A16" s="22"/>
      <c r="B16" s="22"/>
      <c r="C16" s="22"/>
      <c r="D16" s="22"/>
      <c r="E16" s="32" t="str">
        <f aca="false">IF(OR(C16="",D16=""),"",C16*D16)</f>
        <v/>
      </c>
      <c r="F16" s="22"/>
      <c r="G16" s="22"/>
      <c r="H16" s="32" t="str">
        <f aca="false">IF(OR(E16="",F16="",G16=""),"",E16*F16/G16)</f>
        <v/>
      </c>
      <c r="I16" s="21" t="str">
        <f aca="false">IF(H16="","",RANK(H16,$H$5:$H$44,0)+COUNTIF($H$5:H16,H16)-1)</f>
        <v/>
      </c>
      <c r="J16" s="22"/>
      <c r="K16" s="22"/>
      <c r="L16" s="22"/>
      <c r="M16" s="32" t="str">
        <f aca="false">IF(OR(E16="",L16=""),"",E16-L16)</f>
        <v/>
      </c>
      <c r="N16" s="22"/>
    </row>
    <row r="17" customFormat="false" ht="15" hidden="false" customHeight="false" outlineLevel="0" collapsed="false">
      <c r="A17" s="22"/>
      <c r="B17" s="22"/>
      <c r="C17" s="22"/>
      <c r="D17" s="22"/>
      <c r="E17" s="32" t="str">
        <f aca="false">IF(OR(C17="",D17=""),"",C17*D17)</f>
        <v/>
      </c>
      <c r="F17" s="22"/>
      <c r="G17" s="22"/>
      <c r="H17" s="32" t="str">
        <f aca="false">IF(OR(E17="",F17="",G17=""),"",E17*F17/G17)</f>
        <v/>
      </c>
      <c r="I17" s="21" t="str">
        <f aca="false">IF(H17="","",RANK(H17,$H$5:$H$44,0)+COUNTIF($H$5:H17,H17)-1)</f>
        <v/>
      </c>
      <c r="J17" s="22"/>
      <c r="K17" s="22"/>
      <c r="L17" s="22"/>
      <c r="M17" s="32" t="str">
        <f aca="false">IF(OR(E17="",L17=""),"",E17-L17)</f>
        <v/>
      </c>
      <c r="N17" s="22"/>
    </row>
    <row r="18" customFormat="false" ht="15" hidden="false" customHeight="false" outlineLevel="0" collapsed="false">
      <c r="A18" s="22"/>
      <c r="B18" s="22"/>
      <c r="C18" s="22"/>
      <c r="D18" s="22"/>
      <c r="E18" s="32" t="str">
        <f aca="false">IF(OR(C18="",D18=""),"",C18*D18)</f>
        <v/>
      </c>
      <c r="F18" s="22"/>
      <c r="G18" s="22"/>
      <c r="H18" s="32" t="str">
        <f aca="false">IF(OR(E18="",F18="",G18=""),"",E18*F18/G18)</f>
        <v/>
      </c>
      <c r="I18" s="21" t="str">
        <f aca="false">IF(H18="","",RANK(H18,$H$5:$H$44,0)+COUNTIF($H$5:H18,H18)-1)</f>
        <v/>
      </c>
      <c r="J18" s="22"/>
      <c r="K18" s="22"/>
      <c r="L18" s="22"/>
      <c r="M18" s="32" t="str">
        <f aca="false">IF(OR(E18="",L18=""),"",E18-L18)</f>
        <v/>
      </c>
      <c r="N18" s="22"/>
    </row>
    <row r="19" customFormat="false" ht="15" hidden="false" customHeight="false" outlineLevel="0" collapsed="false">
      <c r="A19" s="22"/>
      <c r="B19" s="22"/>
      <c r="C19" s="22"/>
      <c r="D19" s="22"/>
      <c r="E19" s="32" t="str">
        <f aca="false">IF(OR(C19="",D19=""),"",C19*D19)</f>
        <v/>
      </c>
      <c r="F19" s="22"/>
      <c r="G19" s="22"/>
      <c r="H19" s="32" t="str">
        <f aca="false">IF(OR(E19="",F19="",G19=""),"",E19*F19/G19)</f>
        <v/>
      </c>
      <c r="I19" s="21" t="str">
        <f aca="false">IF(H19="","",RANK(H19,$H$5:$H$44,0)+COUNTIF($H$5:H19,H19)-1)</f>
        <v/>
      </c>
      <c r="J19" s="22"/>
      <c r="K19" s="22"/>
      <c r="L19" s="22"/>
      <c r="M19" s="32" t="str">
        <f aca="false">IF(OR(E19="",L19=""),"",E19-L19)</f>
        <v/>
      </c>
      <c r="N19" s="22"/>
    </row>
    <row r="20" customFormat="false" ht="15" hidden="false" customHeight="false" outlineLevel="0" collapsed="false">
      <c r="A20" s="22"/>
      <c r="B20" s="22"/>
      <c r="C20" s="22"/>
      <c r="D20" s="22"/>
      <c r="E20" s="32" t="str">
        <f aca="false">IF(OR(C20="",D20=""),"",C20*D20)</f>
        <v/>
      </c>
      <c r="F20" s="22"/>
      <c r="G20" s="22"/>
      <c r="H20" s="32" t="str">
        <f aca="false">IF(OR(E20="",F20="",G20=""),"",E20*F20/G20)</f>
        <v/>
      </c>
      <c r="I20" s="21" t="str">
        <f aca="false">IF(H20="","",RANK(H20,$H$5:$H$44,0)+COUNTIF($H$5:H20,H20)-1)</f>
        <v/>
      </c>
      <c r="J20" s="22"/>
      <c r="K20" s="22"/>
      <c r="L20" s="22"/>
      <c r="M20" s="32" t="str">
        <f aca="false">IF(OR(E20="",L20=""),"",E20-L20)</f>
        <v/>
      </c>
      <c r="N20" s="22"/>
    </row>
    <row r="21" customFormat="false" ht="15" hidden="false" customHeight="false" outlineLevel="0" collapsed="false">
      <c r="A21" s="22"/>
      <c r="B21" s="22"/>
      <c r="C21" s="22"/>
      <c r="D21" s="22"/>
      <c r="E21" s="32" t="str">
        <f aca="false">IF(OR(C21="",D21=""),"",C21*D21)</f>
        <v/>
      </c>
      <c r="F21" s="22"/>
      <c r="G21" s="22"/>
      <c r="H21" s="32" t="str">
        <f aca="false">IF(OR(E21="",F21="",G21=""),"",E21*F21/G21)</f>
        <v/>
      </c>
      <c r="I21" s="21" t="str">
        <f aca="false">IF(H21="","",RANK(H21,$H$5:$H$44,0)+COUNTIF($H$5:H21,H21)-1)</f>
        <v/>
      </c>
      <c r="J21" s="22"/>
      <c r="K21" s="22"/>
      <c r="L21" s="22"/>
      <c r="M21" s="32" t="str">
        <f aca="false">IF(OR(E21="",L21=""),"",E21-L21)</f>
        <v/>
      </c>
      <c r="N21" s="22"/>
    </row>
    <row r="22" customFormat="false" ht="15" hidden="false" customHeight="false" outlineLevel="0" collapsed="false">
      <c r="A22" s="22"/>
      <c r="B22" s="22"/>
      <c r="C22" s="22"/>
      <c r="D22" s="22"/>
      <c r="E22" s="32" t="str">
        <f aca="false">IF(OR(C22="",D22=""),"",C22*D22)</f>
        <v/>
      </c>
      <c r="F22" s="22"/>
      <c r="G22" s="22"/>
      <c r="H22" s="32" t="str">
        <f aca="false">IF(OR(E22="",F22="",G22=""),"",E22*F22/G22)</f>
        <v/>
      </c>
      <c r="I22" s="21" t="str">
        <f aca="false">IF(H22="","",RANK(H22,$H$5:$H$44,0)+COUNTIF($H$5:H22,H22)-1)</f>
        <v/>
      </c>
      <c r="J22" s="22"/>
      <c r="K22" s="22"/>
      <c r="L22" s="22"/>
      <c r="M22" s="32" t="str">
        <f aca="false">IF(OR(E22="",L22=""),"",E22-L22)</f>
        <v/>
      </c>
      <c r="N22" s="22"/>
    </row>
    <row r="23" customFormat="false" ht="15" hidden="false" customHeight="false" outlineLevel="0" collapsed="false">
      <c r="A23" s="22"/>
      <c r="B23" s="22"/>
      <c r="C23" s="22"/>
      <c r="D23" s="22"/>
      <c r="E23" s="32" t="str">
        <f aca="false">IF(OR(C23="",D23=""),"",C23*D23)</f>
        <v/>
      </c>
      <c r="F23" s="22"/>
      <c r="G23" s="22"/>
      <c r="H23" s="32" t="str">
        <f aca="false">IF(OR(E23="",F23="",G23=""),"",E23*F23/G23)</f>
        <v/>
      </c>
      <c r="I23" s="21" t="str">
        <f aca="false">IF(H23="","",RANK(H23,$H$5:$H$44,0)+COUNTIF($H$5:H23,H23)-1)</f>
        <v/>
      </c>
      <c r="J23" s="22"/>
      <c r="K23" s="22"/>
      <c r="L23" s="22"/>
      <c r="M23" s="32" t="str">
        <f aca="false">IF(OR(E23="",L23=""),"",E23-L23)</f>
        <v/>
      </c>
      <c r="N23" s="22"/>
    </row>
    <row r="24" customFormat="false" ht="15" hidden="false" customHeight="false" outlineLevel="0" collapsed="false">
      <c r="A24" s="22"/>
      <c r="B24" s="22"/>
      <c r="C24" s="22"/>
      <c r="D24" s="22"/>
      <c r="E24" s="32" t="str">
        <f aca="false">IF(OR(C24="",D24=""),"",C24*D24)</f>
        <v/>
      </c>
      <c r="F24" s="22"/>
      <c r="G24" s="22"/>
      <c r="H24" s="32" t="str">
        <f aca="false">IF(OR(E24="",F24="",G24=""),"",E24*F24/G24)</f>
        <v/>
      </c>
      <c r="I24" s="21" t="str">
        <f aca="false">IF(H24="","",RANK(H24,$H$5:$H$44,0)+COUNTIF($H$5:H24,H24)-1)</f>
        <v/>
      </c>
      <c r="J24" s="22"/>
      <c r="K24" s="22"/>
      <c r="L24" s="22"/>
      <c r="M24" s="32" t="str">
        <f aca="false">IF(OR(E24="",L24=""),"",E24-L24)</f>
        <v/>
      </c>
      <c r="N24" s="22"/>
    </row>
    <row r="25" customFormat="false" ht="15" hidden="false" customHeight="false" outlineLevel="0" collapsed="false">
      <c r="A25" s="22"/>
      <c r="B25" s="22"/>
      <c r="C25" s="22"/>
      <c r="D25" s="22"/>
      <c r="E25" s="32" t="str">
        <f aca="false">IF(OR(C25="",D25=""),"",C25*D25)</f>
        <v/>
      </c>
      <c r="F25" s="22"/>
      <c r="G25" s="22"/>
      <c r="H25" s="32" t="str">
        <f aca="false">IF(OR(E25="",F25="",G25=""),"",E25*F25/G25)</f>
        <v/>
      </c>
      <c r="I25" s="21" t="str">
        <f aca="false">IF(H25="","",RANK(H25,$H$5:$H$44,0)+COUNTIF($H$5:H25,H25)-1)</f>
        <v/>
      </c>
      <c r="J25" s="22"/>
      <c r="K25" s="22"/>
      <c r="L25" s="22"/>
      <c r="M25" s="32" t="str">
        <f aca="false">IF(OR(E25="",L25=""),"",E25-L25)</f>
        <v/>
      </c>
      <c r="N25" s="22"/>
    </row>
    <row r="26" customFormat="false" ht="15" hidden="false" customHeight="false" outlineLevel="0" collapsed="false">
      <c r="A26" s="22"/>
      <c r="B26" s="22"/>
      <c r="C26" s="22"/>
      <c r="D26" s="22"/>
      <c r="E26" s="32" t="str">
        <f aca="false">IF(OR(C26="",D26=""),"",C26*D26)</f>
        <v/>
      </c>
      <c r="F26" s="22"/>
      <c r="G26" s="22"/>
      <c r="H26" s="32" t="str">
        <f aca="false">IF(OR(E26="",F26="",G26=""),"",E26*F26/G26)</f>
        <v/>
      </c>
      <c r="I26" s="21" t="str">
        <f aca="false">IF(H26="","",RANK(H26,$H$5:$H$44,0)+COUNTIF($H$5:H26,H26)-1)</f>
        <v/>
      </c>
      <c r="J26" s="22"/>
      <c r="K26" s="22"/>
      <c r="L26" s="22"/>
      <c r="M26" s="32" t="str">
        <f aca="false">IF(OR(E26="",L26=""),"",E26-L26)</f>
        <v/>
      </c>
      <c r="N26" s="22"/>
    </row>
    <row r="27" customFormat="false" ht="15" hidden="false" customHeight="false" outlineLevel="0" collapsed="false">
      <c r="A27" s="22"/>
      <c r="B27" s="22"/>
      <c r="C27" s="22"/>
      <c r="D27" s="22"/>
      <c r="E27" s="32" t="str">
        <f aca="false">IF(OR(C27="",D27=""),"",C27*D27)</f>
        <v/>
      </c>
      <c r="F27" s="22"/>
      <c r="G27" s="22"/>
      <c r="H27" s="32" t="str">
        <f aca="false">IF(OR(E27="",F27="",G27=""),"",E27*F27/G27)</f>
        <v/>
      </c>
      <c r="I27" s="21" t="str">
        <f aca="false">IF(H27="","",RANK(H27,$H$5:$H$44,0)+COUNTIF($H$5:H27,H27)-1)</f>
        <v/>
      </c>
      <c r="J27" s="22"/>
      <c r="K27" s="22"/>
      <c r="L27" s="22"/>
      <c r="M27" s="32" t="str">
        <f aca="false">IF(OR(E27="",L27=""),"",E27-L27)</f>
        <v/>
      </c>
      <c r="N27" s="22"/>
    </row>
    <row r="28" customFormat="false" ht="15" hidden="false" customHeight="false" outlineLevel="0" collapsed="false">
      <c r="A28" s="22"/>
      <c r="B28" s="22"/>
      <c r="C28" s="22"/>
      <c r="D28" s="22"/>
      <c r="E28" s="32" t="str">
        <f aca="false">IF(OR(C28="",D28=""),"",C28*D28)</f>
        <v/>
      </c>
      <c r="F28" s="22"/>
      <c r="G28" s="22"/>
      <c r="H28" s="32" t="str">
        <f aca="false">IF(OR(E28="",F28="",G28=""),"",E28*F28/G28)</f>
        <v/>
      </c>
      <c r="I28" s="21" t="str">
        <f aca="false">IF(H28="","",RANK(H28,$H$5:$H$44,0)+COUNTIF($H$5:H28,H28)-1)</f>
        <v/>
      </c>
      <c r="J28" s="22"/>
      <c r="K28" s="22"/>
      <c r="L28" s="22"/>
      <c r="M28" s="32" t="str">
        <f aca="false">IF(OR(E28="",L28=""),"",E28-L28)</f>
        <v/>
      </c>
      <c r="N28" s="22"/>
    </row>
    <row r="29" customFormat="false" ht="15" hidden="false" customHeight="false" outlineLevel="0" collapsed="false">
      <c r="A29" s="22"/>
      <c r="B29" s="22"/>
      <c r="C29" s="22"/>
      <c r="D29" s="22"/>
      <c r="E29" s="32" t="str">
        <f aca="false">IF(OR(C29="",D29=""),"",C29*D29)</f>
        <v/>
      </c>
      <c r="F29" s="22"/>
      <c r="G29" s="22"/>
      <c r="H29" s="32" t="str">
        <f aca="false">IF(OR(E29="",F29="",G29=""),"",E29*F29/G29)</f>
        <v/>
      </c>
      <c r="I29" s="21" t="str">
        <f aca="false">IF(H29="","",RANK(H29,$H$5:$H$44,0)+COUNTIF($H$5:H29,H29)-1)</f>
        <v/>
      </c>
      <c r="J29" s="22"/>
      <c r="K29" s="22"/>
      <c r="L29" s="22"/>
      <c r="M29" s="32" t="str">
        <f aca="false">IF(OR(E29="",L29=""),"",E29-L29)</f>
        <v/>
      </c>
      <c r="N29" s="22"/>
    </row>
    <row r="30" customFormat="false" ht="15" hidden="false" customHeight="false" outlineLevel="0" collapsed="false">
      <c r="A30" s="22"/>
      <c r="B30" s="22"/>
      <c r="C30" s="22"/>
      <c r="D30" s="22"/>
      <c r="E30" s="32" t="str">
        <f aca="false">IF(OR(C30="",D30=""),"",C30*D30)</f>
        <v/>
      </c>
      <c r="F30" s="22"/>
      <c r="G30" s="22"/>
      <c r="H30" s="32" t="str">
        <f aca="false">IF(OR(E30="",F30="",G30=""),"",E30*F30/G30)</f>
        <v/>
      </c>
      <c r="I30" s="21" t="str">
        <f aca="false">IF(H30="","",RANK(H30,$H$5:$H$44,0)+COUNTIF($H$5:H30,H30)-1)</f>
        <v/>
      </c>
      <c r="J30" s="22"/>
      <c r="K30" s="22"/>
      <c r="L30" s="22"/>
      <c r="M30" s="32" t="str">
        <f aca="false">IF(OR(E30="",L30=""),"",E30-L30)</f>
        <v/>
      </c>
      <c r="N30" s="22"/>
    </row>
    <row r="31" customFormat="false" ht="15" hidden="false" customHeight="false" outlineLevel="0" collapsed="false">
      <c r="A31" s="22"/>
      <c r="B31" s="22"/>
      <c r="C31" s="22"/>
      <c r="D31" s="22"/>
      <c r="E31" s="32" t="str">
        <f aca="false">IF(OR(C31="",D31=""),"",C31*D31)</f>
        <v/>
      </c>
      <c r="F31" s="22"/>
      <c r="G31" s="22"/>
      <c r="H31" s="32" t="str">
        <f aca="false">IF(OR(E31="",F31="",G31=""),"",E31*F31/G31)</f>
        <v/>
      </c>
      <c r="I31" s="21" t="str">
        <f aca="false">IF(H31="","",RANK(H31,$H$5:$H$44,0)+COUNTIF($H$5:H31,H31)-1)</f>
        <v/>
      </c>
      <c r="J31" s="22"/>
      <c r="K31" s="22"/>
      <c r="L31" s="22"/>
      <c r="M31" s="32" t="str">
        <f aca="false">IF(OR(E31="",L31=""),"",E31-L31)</f>
        <v/>
      </c>
      <c r="N31" s="22"/>
    </row>
    <row r="32" customFormat="false" ht="15" hidden="false" customHeight="false" outlineLevel="0" collapsed="false">
      <c r="A32" s="22"/>
      <c r="B32" s="22"/>
      <c r="C32" s="22"/>
      <c r="D32" s="22"/>
      <c r="E32" s="32" t="str">
        <f aca="false">IF(OR(C32="",D32=""),"",C32*D32)</f>
        <v/>
      </c>
      <c r="F32" s="22"/>
      <c r="G32" s="22"/>
      <c r="H32" s="32" t="str">
        <f aca="false">IF(OR(E32="",F32="",G32=""),"",E32*F32/G32)</f>
        <v/>
      </c>
      <c r="I32" s="21" t="str">
        <f aca="false">IF(H32="","",RANK(H32,$H$5:$H$44,0)+COUNTIF($H$5:H32,H32)-1)</f>
        <v/>
      </c>
      <c r="J32" s="22"/>
      <c r="K32" s="22"/>
      <c r="L32" s="22"/>
      <c r="M32" s="32" t="str">
        <f aca="false">IF(OR(E32="",L32=""),"",E32-L32)</f>
        <v/>
      </c>
      <c r="N32" s="22"/>
    </row>
    <row r="33" customFormat="false" ht="15" hidden="false" customHeight="false" outlineLevel="0" collapsed="false">
      <c r="A33" s="22"/>
      <c r="B33" s="22"/>
      <c r="C33" s="22"/>
      <c r="D33" s="22"/>
      <c r="E33" s="32" t="str">
        <f aca="false">IF(OR(C33="",D33=""),"",C33*D33)</f>
        <v/>
      </c>
      <c r="F33" s="22"/>
      <c r="G33" s="22"/>
      <c r="H33" s="32" t="str">
        <f aca="false">IF(OR(E33="",F33="",G33=""),"",E33*F33/G33)</f>
        <v/>
      </c>
      <c r="I33" s="21" t="str">
        <f aca="false">IF(H33="","",RANK(H33,$H$5:$H$44,0)+COUNTIF($H$5:H33,H33)-1)</f>
        <v/>
      </c>
      <c r="J33" s="22"/>
      <c r="K33" s="22"/>
      <c r="L33" s="22"/>
      <c r="M33" s="32" t="str">
        <f aca="false">IF(OR(E33="",L33=""),"",E33-L33)</f>
        <v/>
      </c>
      <c r="N33" s="22"/>
    </row>
    <row r="34" customFormat="false" ht="15" hidden="false" customHeight="false" outlineLevel="0" collapsed="false">
      <c r="A34" s="22"/>
      <c r="B34" s="22"/>
      <c r="C34" s="22"/>
      <c r="D34" s="22"/>
      <c r="E34" s="32" t="str">
        <f aca="false">IF(OR(C34="",D34=""),"",C34*D34)</f>
        <v/>
      </c>
      <c r="F34" s="22"/>
      <c r="G34" s="22"/>
      <c r="H34" s="32" t="str">
        <f aca="false">IF(OR(E34="",F34="",G34=""),"",E34*F34/G34)</f>
        <v/>
      </c>
      <c r="I34" s="21" t="str">
        <f aca="false">IF(H34="","",RANK(H34,$H$5:$H$44,0)+COUNTIF($H$5:H34,H34)-1)</f>
        <v/>
      </c>
      <c r="J34" s="22"/>
      <c r="K34" s="22"/>
      <c r="L34" s="22"/>
      <c r="M34" s="32" t="str">
        <f aca="false">IF(OR(E34="",L34=""),"",E34-L34)</f>
        <v/>
      </c>
      <c r="N34" s="22"/>
    </row>
    <row r="35" customFormat="false" ht="15" hidden="false" customHeight="false" outlineLevel="0" collapsed="false">
      <c r="A35" s="22"/>
      <c r="B35" s="22"/>
      <c r="C35" s="22"/>
      <c r="D35" s="22"/>
      <c r="E35" s="32" t="str">
        <f aca="false">IF(OR(C35="",D35=""),"",C35*D35)</f>
        <v/>
      </c>
      <c r="F35" s="22"/>
      <c r="G35" s="22"/>
      <c r="H35" s="32" t="str">
        <f aca="false">IF(OR(E35="",F35="",G35=""),"",E35*F35/G35)</f>
        <v/>
      </c>
      <c r="I35" s="21" t="str">
        <f aca="false">IF(H35="","",RANK(H35,$H$5:$H$44,0)+COUNTIF($H$5:H35,H35)-1)</f>
        <v/>
      </c>
      <c r="J35" s="22"/>
      <c r="K35" s="22"/>
      <c r="L35" s="22"/>
      <c r="M35" s="32" t="str">
        <f aca="false">IF(OR(E35="",L35=""),"",E35-L35)</f>
        <v/>
      </c>
      <c r="N35" s="22"/>
    </row>
    <row r="36" customFormat="false" ht="15" hidden="false" customHeight="false" outlineLevel="0" collapsed="false">
      <c r="A36" s="22"/>
      <c r="B36" s="22"/>
      <c r="C36" s="22"/>
      <c r="D36" s="22"/>
      <c r="E36" s="32" t="str">
        <f aca="false">IF(OR(C36="",D36=""),"",C36*D36)</f>
        <v/>
      </c>
      <c r="F36" s="22"/>
      <c r="G36" s="22"/>
      <c r="H36" s="32" t="str">
        <f aca="false">IF(OR(E36="",F36="",G36=""),"",E36*F36/G36)</f>
        <v/>
      </c>
      <c r="I36" s="21" t="str">
        <f aca="false">IF(H36="","",RANK(H36,$H$5:$H$44,0)+COUNTIF($H$5:H36,H36)-1)</f>
        <v/>
      </c>
      <c r="J36" s="22"/>
      <c r="K36" s="22"/>
      <c r="L36" s="22"/>
      <c r="M36" s="32" t="str">
        <f aca="false">IF(OR(E36="",L36=""),"",E36-L36)</f>
        <v/>
      </c>
      <c r="N36" s="22"/>
    </row>
    <row r="37" customFormat="false" ht="15" hidden="false" customHeight="false" outlineLevel="0" collapsed="false">
      <c r="A37" s="22"/>
      <c r="B37" s="22"/>
      <c r="C37" s="22"/>
      <c r="D37" s="22"/>
      <c r="E37" s="32" t="str">
        <f aca="false">IF(OR(C37="",D37=""),"",C37*D37)</f>
        <v/>
      </c>
      <c r="F37" s="22"/>
      <c r="G37" s="22"/>
      <c r="H37" s="32" t="str">
        <f aca="false">IF(OR(E37="",F37="",G37=""),"",E37*F37/G37)</f>
        <v/>
      </c>
      <c r="I37" s="21" t="str">
        <f aca="false">IF(H37="","",RANK(H37,$H$5:$H$44,0)+COUNTIF($H$5:H37,H37)-1)</f>
        <v/>
      </c>
      <c r="J37" s="22"/>
      <c r="K37" s="22"/>
      <c r="L37" s="22"/>
      <c r="M37" s="32" t="str">
        <f aca="false">IF(OR(E37="",L37=""),"",E37-L37)</f>
        <v/>
      </c>
      <c r="N37" s="22"/>
    </row>
    <row r="38" customFormat="false" ht="15" hidden="false" customHeight="false" outlineLevel="0" collapsed="false">
      <c r="A38" s="22"/>
      <c r="B38" s="22"/>
      <c r="C38" s="22"/>
      <c r="D38" s="22"/>
      <c r="E38" s="32" t="str">
        <f aca="false">IF(OR(C38="",D38=""),"",C38*D38)</f>
        <v/>
      </c>
      <c r="F38" s="22"/>
      <c r="G38" s="22"/>
      <c r="H38" s="32" t="str">
        <f aca="false">IF(OR(E38="",F38="",G38=""),"",E38*F38/G38)</f>
        <v/>
      </c>
      <c r="I38" s="21" t="str">
        <f aca="false">IF(H38="","",RANK(H38,$H$5:$H$44,0)+COUNTIF($H$5:H38,H38)-1)</f>
        <v/>
      </c>
      <c r="J38" s="22"/>
      <c r="K38" s="22"/>
      <c r="L38" s="22"/>
      <c r="M38" s="32" t="str">
        <f aca="false">IF(OR(E38="",L38=""),"",E38-L38)</f>
        <v/>
      </c>
      <c r="N38" s="22"/>
    </row>
    <row r="39" customFormat="false" ht="15" hidden="false" customHeight="false" outlineLevel="0" collapsed="false">
      <c r="A39" s="22"/>
      <c r="B39" s="22"/>
      <c r="C39" s="22"/>
      <c r="D39" s="22"/>
      <c r="E39" s="32" t="str">
        <f aca="false">IF(OR(C39="",D39=""),"",C39*D39)</f>
        <v/>
      </c>
      <c r="F39" s="22"/>
      <c r="G39" s="22"/>
      <c r="H39" s="32" t="str">
        <f aca="false">IF(OR(E39="",F39="",G39=""),"",E39*F39/G39)</f>
        <v/>
      </c>
      <c r="I39" s="21" t="str">
        <f aca="false">IF(H39="","",RANK(H39,$H$5:$H$44,0)+COUNTIF($H$5:H39,H39)-1)</f>
        <v/>
      </c>
      <c r="J39" s="22"/>
      <c r="K39" s="22"/>
      <c r="L39" s="22"/>
      <c r="M39" s="32" t="str">
        <f aca="false">IF(OR(E39="",L39=""),"",E39-L39)</f>
        <v/>
      </c>
      <c r="N39" s="22"/>
    </row>
    <row r="40" customFormat="false" ht="15" hidden="false" customHeight="false" outlineLevel="0" collapsed="false">
      <c r="A40" s="22"/>
      <c r="B40" s="22"/>
      <c r="C40" s="22"/>
      <c r="D40" s="22"/>
      <c r="E40" s="32" t="str">
        <f aca="false">IF(OR(C40="",D40=""),"",C40*D40)</f>
        <v/>
      </c>
      <c r="F40" s="22"/>
      <c r="G40" s="22"/>
      <c r="H40" s="32" t="str">
        <f aca="false">IF(OR(E40="",F40="",G40=""),"",E40*F40/G40)</f>
        <v/>
      </c>
      <c r="I40" s="21" t="str">
        <f aca="false">IF(H40="","",RANK(H40,$H$5:$H$44,0)+COUNTIF($H$5:H40,H40)-1)</f>
        <v/>
      </c>
      <c r="J40" s="22"/>
      <c r="K40" s="22"/>
      <c r="L40" s="22"/>
      <c r="M40" s="32" t="str">
        <f aca="false">IF(OR(E40="",L40=""),"",E40-L40)</f>
        <v/>
      </c>
      <c r="N40" s="22"/>
    </row>
    <row r="41" customFormat="false" ht="15" hidden="false" customHeight="false" outlineLevel="0" collapsed="false">
      <c r="A41" s="22"/>
      <c r="B41" s="22"/>
      <c r="C41" s="22"/>
      <c r="D41" s="22"/>
      <c r="E41" s="32" t="str">
        <f aca="false">IF(OR(C41="",D41=""),"",C41*D41)</f>
        <v/>
      </c>
      <c r="F41" s="22"/>
      <c r="G41" s="22"/>
      <c r="H41" s="32" t="str">
        <f aca="false">IF(OR(E41="",F41="",G41=""),"",E41*F41/G41)</f>
        <v/>
      </c>
      <c r="I41" s="21" t="str">
        <f aca="false">IF(H41="","",RANK(H41,$H$5:$H$44,0)+COUNTIF($H$5:H41,H41)-1)</f>
        <v/>
      </c>
      <c r="J41" s="22"/>
      <c r="K41" s="22"/>
      <c r="L41" s="22"/>
      <c r="M41" s="32" t="str">
        <f aca="false">IF(OR(E41="",L41=""),"",E41-L41)</f>
        <v/>
      </c>
      <c r="N41" s="22"/>
    </row>
    <row r="42" customFormat="false" ht="15" hidden="false" customHeight="false" outlineLevel="0" collapsed="false">
      <c r="A42" s="22"/>
      <c r="B42" s="22"/>
      <c r="C42" s="22"/>
      <c r="D42" s="22"/>
      <c r="E42" s="32" t="str">
        <f aca="false">IF(OR(C42="",D42=""),"",C42*D42)</f>
        <v/>
      </c>
      <c r="F42" s="22"/>
      <c r="G42" s="22"/>
      <c r="H42" s="32" t="str">
        <f aca="false">IF(OR(E42="",F42="",G42=""),"",E42*F42/G42)</f>
        <v/>
      </c>
      <c r="I42" s="21" t="str">
        <f aca="false">IF(H42="","",RANK(H42,$H$5:$H$44,0)+COUNTIF($H$5:H42,H42)-1)</f>
        <v/>
      </c>
      <c r="J42" s="22"/>
      <c r="K42" s="22"/>
      <c r="L42" s="22"/>
      <c r="M42" s="32" t="str">
        <f aca="false">IF(OR(E42="",L42=""),"",E42-L42)</f>
        <v/>
      </c>
      <c r="N42" s="22"/>
    </row>
    <row r="43" customFormat="false" ht="15" hidden="false" customHeight="false" outlineLevel="0" collapsed="false">
      <c r="A43" s="22"/>
      <c r="B43" s="22"/>
      <c r="C43" s="22"/>
      <c r="D43" s="22"/>
      <c r="E43" s="32" t="str">
        <f aca="false">IF(OR(C43="",D43=""),"",C43*D43)</f>
        <v/>
      </c>
      <c r="F43" s="22"/>
      <c r="G43" s="22"/>
      <c r="H43" s="32" t="str">
        <f aca="false">IF(OR(E43="",F43="",G43=""),"",E43*F43/G43)</f>
        <v/>
      </c>
      <c r="I43" s="21" t="str">
        <f aca="false">IF(H43="","",RANK(H43,$H$5:$H$44,0)+COUNTIF($H$5:H43,H43)-1)</f>
        <v/>
      </c>
      <c r="J43" s="22"/>
      <c r="K43" s="22"/>
      <c r="L43" s="22"/>
      <c r="M43" s="32" t="str">
        <f aca="false">IF(OR(E43="",L43=""),"",E43-L43)</f>
        <v/>
      </c>
      <c r="N43" s="22"/>
    </row>
    <row r="44" customFormat="false" ht="15" hidden="false" customHeight="false" outlineLevel="0" collapsed="false">
      <c r="A44" s="22"/>
      <c r="B44" s="22"/>
      <c r="C44" s="22"/>
      <c r="D44" s="22"/>
      <c r="E44" s="32" t="str">
        <f aca="false">IF(OR(C44="",D44=""),"",C44*D44)</f>
        <v/>
      </c>
      <c r="F44" s="22"/>
      <c r="G44" s="22"/>
      <c r="H44" s="32" t="str">
        <f aca="false">IF(OR(E44="",F44="",G44=""),"",E44*F44/G44)</f>
        <v/>
      </c>
      <c r="I44" s="21" t="str">
        <f aca="false">IF(H44="","",RANK(H44,$H$5:$H$44,0)+COUNTIF($H$5:H44,H44)-1)</f>
        <v/>
      </c>
      <c r="J44" s="22"/>
      <c r="K44" s="22"/>
      <c r="L44" s="22"/>
      <c r="M44" s="32" t="str">
        <f aca="false">IF(OR(E44="",L44=""),"",E44-L44)</f>
        <v/>
      </c>
      <c r="N44" s="22"/>
    </row>
  </sheetData>
  <conditionalFormatting sqref="A5:I44">
    <cfRule type="expression" priority="2" aboveAverage="0" equalAverage="0" bottom="0" percent="0" rank="0" text="" dxfId="15">
      <formula>AND($I5&lt;&gt;"",$I5&lt;=3)</formula>
    </cfRule>
  </conditionalFormatting>
  <dataValidations count="4">
    <dataValidation allowBlank="true" error="Please pick a value from the list (edit lists on the Settings tab)." errorStyle="stop" errorTitle="Not in list" operator="between" showDropDown="false" showErrorMessage="true" showInputMessage="false" sqref="B5:B44" type="list">
      <formula1>Settings!$J$14:$J$19</formula1>
      <formula2>0</formula2>
    </dataValidation>
    <dataValidation allowBlank="true" error="Please pick a value from the list (edit lists on the Settings tab)." errorStyle="stop" errorTitle="Not in list" operator="between" showDropDown="false" showErrorMessage="true" showInputMessage="false" sqref="J5:J44" type="list">
      <formula1>Settings!$I$14:$I$18</formula1>
      <formula2>0</formula2>
    </dataValidation>
    <dataValidation allowBlank="true" error="Please pick a value from the list (edit lists on the Settings tab)." errorStyle="stop" errorTitle="Not in list" operator="between" prompt="3 = nearly identical every time; 1 = different every time" promptTitle="Choose from the list" showDropDown="false" showErrorMessage="true" showInputMessage="true" sqref="F5:F44" type="list">
      <formula1>"1,2,3"</formula1>
      <formula2>0</formula2>
    </dataValidation>
    <dataValidation allowBlank="true" error="Please pick a value from the list (edit lists on the Settings tab)." errorStyle="stop" errorTitle="Not in list" operator="between" prompt="1 = low stakes; 2 = money/client data/deadlines; 3 = legal, sensitive or relationship-critical" promptTitle="Choose from the list" showDropDown="false" showErrorMessage="true" showInputMessage="true" sqref="G5:G44" type="list">
      <formula1>"1,2,3"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H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30" hidden="false" customHeight="true" outlineLevel="0" collapsed="false">
      <c r="A1" s="7" t="s">
        <v>223</v>
      </c>
    </row>
    <row r="2" customFormat="false" ht="15" hidden="false" customHeight="false" outlineLevel="0" collapsed="false">
      <c r="A2" s="2" t="s">
        <v>224</v>
      </c>
    </row>
    <row r="3" customFormat="false" ht="15" hidden="false" customHeight="false" outlineLevel="0" collapsed="false">
      <c r="A3" s="19" t="s">
        <v>58</v>
      </c>
    </row>
    <row r="4" customFormat="false" ht="33.75" hidden="false" customHeight="true" outlineLevel="0" collapsed="false">
      <c r="A4" s="13" t="s">
        <v>225</v>
      </c>
      <c r="B4" s="13" t="s">
        <v>226</v>
      </c>
      <c r="C4" s="13" t="s">
        <v>227</v>
      </c>
      <c r="D4" s="13" t="s">
        <v>228</v>
      </c>
      <c r="E4" s="13" t="s">
        <v>229</v>
      </c>
      <c r="F4" s="13" t="s">
        <v>230</v>
      </c>
      <c r="G4" s="13" t="s">
        <v>231</v>
      </c>
      <c r="H4" s="13" t="s">
        <v>232</v>
      </c>
    </row>
    <row r="5" customFormat="false" ht="15" hidden="false" customHeight="false" outlineLevel="0" collapsed="false">
      <c r="A5" s="22" t="s">
        <v>233</v>
      </c>
      <c r="B5" s="22" t="s">
        <v>234</v>
      </c>
      <c r="C5" s="22" t="s">
        <v>235</v>
      </c>
      <c r="D5" s="22"/>
      <c r="E5" s="22"/>
      <c r="F5" s="26"/>
      <c r="G5" s="22"/>
      <c r="H5" s="22"/>
    </row>
    <row r="6" customFormat="false" ht="15" hidden="false" customHeight="false" outlineLevel="0" collapsed="false">
      <c r="A6" s="22" t="s">
        <v>236</v>
      </c>
      <c r="B6" s="22" t="s">
        <v>237</v>
      </c>
      <c r="C6" s="22" t="s">
        <v>235</v>
      </c>
      <c r="D6" s="22"/>
      <c r="E6" s="22"/>
      <c r="F6" s="26"/>
      <c r="G6" s="22"/>
      <c r="H6" s="22"/>
    </row>
    <row r="7" customFormat="false" ht="15" hidden="false" customHeight="false" outlineLevel="0" collapsed="false">
      <c r="A7" s="22" t="s">
        <v>238</v>
      </c>
      <c r="B7" s="22" t="s">
        <v>239</v>
      </c>
      <c r="C7" s="22" t="s">
        <v>235</v>
      </c>
      <c r="D7" s="22"/>
      <c r="E7" s="22"/>
      <c r="F7" s="26"/>
      <c r="G7" s="22"/>
      <c r="H7" s="22"/>
    </row>
    <row r="8" customFormat="false" ht="15" hidden="false" customHeight="false" outlineLevel="0" collapsed="false">
      <c r="A8" s="22" t="s">
        <v>207</v>
      </c>
      <c r="B8" s="22" t="s">
        <v>240</v>
      </c>
      <c r="C8" s="22" t="s">
        <v>241</v>
      </c>
      <c r="D8" s="22"/>
      <c r="E8" s="22"/>
      <c r="F8" s="26"/>
      <c r="G8" s="22"/>
      <c r="H8" s="22"/>
    </row>
    <row r="9" customFormat="false" ht="15" hidden="false" customHeight="false" outlineLevel="0" collapsed="false">
      <c r="A9" s="22" t="s">
        <v>242</v>
      </c>
      <c r="B9" s="22" t="s">
        <v>243</v>
      </c>
      <c r="C9" s="22" t="s">
        <v>244</v>
      </c>
      <c r="D9" s="22"/>
      <c r="E9" s="22"/>
      <c r="F9" s="26"/>
      <c r="G9" s="22"/>
      <c r="H9" s="22"/>
    </row>
    <row r="10" customFormat="false" ht="15" hidden="false" customHeight="false" outlineLevel="0" collapsed="false">
      <c r="A10" s="22" t="s">
        <v>245</v>
      </c>
      <c r="B10" s="22" t="s">
        <v>246</v>
      </c>
      <c r="C10" s="22" t="s">
        <v>244</v>
      </c>
      <c r="D10" s="22"/>
      <c r="E10" s="22"/>
      <c r="F10" s="26"/>
      <c r="G10" s="22"/>
      <c r="H10" s="22"/>
    </row>
    <row r="11" customFormat="false" ht="15" hidden="false" customHeight="false" outlineLevel="0" collapsed="false">
      <c r="A11" s="22" t="s">
        <v>214</v>
      </c>
      <c r="B11" s="22" t="s">
        <v>247</v>
      </c>
      <c r="C11" s="22" t="s">
        <v>248</v>
      </c>
      <c r="D11" s="22"/>
      <c r="E11" s="22"/>
      <c r="F11" s="26"/>
      <c r="G11" s="22"/>
      <c r="H11" s="22"/>
    </row>
    <row r="12" customFormat="false" ht="15" hidden="false" customHeight="false" outlineLevel="0" collapsed="false">
      <c r="A12" s="22" t="s">
        <v>249</v>
      </c>
      <c r="B12" s="22" t="s">
        <v>250</v>
      </c>
      <c r="C12" s="22" t="s">
        <v>248</v>
      </c>
      <c r="D12" s="22"/>
      <c r="E12" s="22"/>
      <c r="F12" s="26"/>
      <c r="G12" s="22"/>
      <c r="H12" s="22"/>
    </row>
    <row r="13" customFormat="false" ht="15" hidden="false" customHeight="false" outlineLevel="0" collapsed="false">
      <c r="A13" s="22" t="s">
        <v>211</v>
      </c>
      <c r="B13" s="22" t="s">
        <v>251</v>
      </c>
      <c r="C13" s="22" t="s">
        <v>252</v>
      </c>
      <c r="D13" s="22"/>
      <c r="E13" s="22"/>
      <c r="F13" s="26"/>
      <c r="G13" s="22"/>
      <c r="H13" s="22"/>
    </row>
    <row r="14" customFormat="false" ht="15" hidden="false" customHeight="false" outlineLevel="0" collapsed="false">
      <c r="A14" s="22" t="s">
        <v>253</v>
      </c>
      <c r="B14" s="22" t="s">
        <v>254</v>
      </c>
      <c r="C14" s="22" t="s">
        <v>252</v>
      </c>
      <c r="D14" s="22"/>
      <c r="E14" s="22"/>
      <c r="F14" s="26"/>
      <c r="G14" s="22"/>
      <c r="H14" s="22"/>
    </row>
    <row r="15" customFormat="false" ht="15" hidden="false" customHeight="false" outlineLevel="0" collapsed="false">
      <c r="A15" s="22" t="s">
        <v>198</v>
      </c>
      <c r="B15" s="22" t="s">
        <v>255</v>
      </c>
      <c r="C15" s="22" t="s">
        <v>256</v>
      </c>
      <c r="D15" s="22"/>
      <c r="E15" s="22"/>
      <c r="F15" s="26"/>
      <c r="G15" s="22"/>
      <c r="H15" s="22"/>
    </row>
    <row r="16" customFormat="false" ht="15" hidden="false" customHeight="false" outlineLevel="0" collapsed="false">
      <c r="A16" s="22" t="s">
        <v>217</v>
      </c>
      <c r="B16" s="22" t="s">
        <v>257</v>
      </c>
      <c r="C16" s="22" t="s">
        <v>256</v>
      </c>
      <c r="D16" s="22"/>
      <c r="E16" s="22"/>
      <c r="F16" s="26"/>
      <c r="G16" s="22"/>
      <c r="H16" s="22"/>
    </row>
    <row r="17" customFormat="false" ht="15" hidden="false" customHeight="false" outlineLevel="0" collapsed="false">
      <c r="A17" s="22" t="s">
        <v>258</v>
      </c>
      <c r="B17" s="22" t="s">
        <v>259</v>
      </c>
      <c r="C17" s="22" t="s">
        <v>256</v>
      </c>
      <c r="D17" s="22"/>
      <c r="E17" s="22"/>
      <c r="F17" s="26"/>
      <c r="G17" s="22"/>
      <c r="H17" s="22"/>
    </row>
    <row r="18" customFormat="false" ht="15" hidden="false" customHeight="false" outlineLevel="0" collapsed="false">
      <c r="A18" s="22" t="s">
        <v>222</v>
      </c>
      <c r="B18" s="22" t="s">
        <v>260</v>
      </c>
      <c r="C18" s="22" t="s">
        <v>261</v>
      </c>
      <c r="D18" s="22"/>
      <c r="E18" s="22"/>
      <c r="F18" s="26"/>
      <c r="G18" s="22"/>
      <c r="H18" s="22"/>
    </row>
    <row r="19" customFormat="false" ht="15" hidden="false" customHeight="false" outlineLevel="0" collapsed="false">
      <c r="A19" s="22" t="s">
        <v>262</v>
      </c>
      <c r="B19" s="22" t="s">
        <v>263</v>
      </c>
      <c r="C19" s="22" t="s">
        <v>264</v>
      </c>
      <c r="D19" s="22"/>
      <c r="E19" s="22"/>
      <c r="F19" s="26"/>
      <c r="G19" s="22"/>
      <c r="H19" s="22"/>
    </row>
    <row r="20" customFormat="false" ht="15" hidden="false" customHeight="false" outlineLevel="0" collapsed="false">
      <c r="A20" s="22" t="s">
        <v>265</v>
      </c>
      <c r="B20" s="22" t="s">
        <v>266</v>
      </c>
      <c r="C20" s="22" t="s">
        <v>267</v>
      </c>
      <c r="D20" s="22"/>
      <c r="E20" s="22"/>
      <c r="F20" s="26"/>
      <c r="G20" s="22"/>
      <c r="H20" s="22"/>
    </row>
    <row r="21" customFormat="false" ht="15" hidden="false" customHeight="false" outlineLevel="0" collapsed="false">
      <c r="A21" s="22" t="s">
        <v>268</v>
      </c>
      <c r="B21" s="22" t="s">
        <v>269</v>
      </c>
      <c r="C21" s="22" t="s">
        <v>267</v>
      </c>
      <c r="D21" s="22"/>
      <c r="E21" s="22"/>
      <c r="F21" s="26"/>
      <c r="G21" s="22"/>
      <c r="H21" s="22"/>
    </row>
    <row r="22" customFormat="false" ht="15" hidden="false" customHeight="false" outlineLevel="0" collapsed="false">
      <c r="A22" s="22"/>
      <c r="B22" s="22"/>
      <c r="C22" s="22"/>
      <c r="D22" s="22"/>
      <c r="E22" s="22"/>
      <c r="F22" s="26"/>
      <c r="G22" s="22"/>
      <c r="H22" s="22"/>
    </row>
    <row r="23" customFormat="false" ht="15" hidden="false" customHeight="false" outlineLevel="0" collapsed="false">
      <c r="A23" s="22"/>
      <c r="B23" s="22"/>
      <c r="C23" s="22"/>
      <c r="D23" s="22"/>
      <c r="E23" s="22"/>
      <c r="F23" s="26"/>
      <c r="G23" s="22"/>
      <c r="H23" s="22"/>
    </row>
    <row r="24" customFormat="false" ht="15" hidden="false" customHeight="false" outlineLevel="0" collapsed="false">
      <c r="A24" s="22"/>
      <c r="B24" s="22"/>
      <c r="C24" s="22"/>
      <c r="D24" s="22"/>
      <c r="E24" s="22"/>
      <c r="F24" s="26"/>
      <c r="G24" s="22"/>
      <c r="H24" s="22"/>
    </row>
    <row r="25" customFormat="false" ht="15" hidden="false" customHeight="false" outlineLevel="0" collapsed="false">
      <c r="A25" s="22"/>
      <c r="B25" s="22"/>
      <c r="C25" s="22"/>
      <c r="D25" s="22"/>
      <c r="E25" s="22"/>
      <c r="F25" s="26"/>
      <c r="G25" s="22"/>
      <c r="H25" s="22"/>
    </row>
    <row r="26" customFormat="false" ht="15" hidden="false" customHeight="false" outlineLevel="0" collapsed="false">
      <c r="A26" s="22"/>
      <c r="B26" s="22"/>
      <c r="C26" s="22"/>
      <c r="D26" s="22"/>
      <c r="E26" s="22"/>
      <c r="F26" s="26"/>
      <c r="G26" s="22"/>
      <c r="H26" s="22"/>
    </row>
    <row r="27" customFormat="false" ht="15" hidden="false" customHeight="false" outlineLevel="0" collapsed="false">
      <c r="A27" s="22"/>
      <c r="B27" s="22"/>
      <c r="C27" s="22"/>
      <c r="D27" s="22"/>
      <c r="E27" s="22"/>
      <c r="F27" s="26"/>
      <c r="G27" s="22"/>
      <c r="H27" s="22"/>
    </row>
    <row r="28" customFormat="false" ht="15" hidden="false" customHeight="false" outlineLevel="0" collapsed="false">
      <c r="A28" s="22"/>
      <c r="B28" s="22"/>
      <c r="C28" s="22"/>
      <c r="D28" s="22"/>
      <c r="E28" s="22"/>
      <c r="F28" s="26"/>
      <c r="G28" s="22"/>
      <c r="H28" s="22"/>
    </row>
    <row r="29" customFormat="false" ht="15" hidden="false" customHeight="false" outlineLevel="0" collapsed="false">
      <c r="A29" s="22"/>
      <c r="B29" s="22"/>
      <c r="C29" s="22"/>
      <c r="D29" s="22"/>
      <c r="E29" s="22"/>
      <c r="F29" s="26"/>
      <c r="G29" s="22"/>
      <c r="H29" s="22"/>
    </row>
    <row r="30" customFormat="false" ht="15" hidden="false" customHeight="false" outlineLevel="0" collapsed="false">
      <c r="A30" s="22"/>
      <c r="B30" s="22"/>
      <c r="C30" s="22"/>
      <c r="D30" s="22"/>
      <c r="E30" s="22"/>
      <c r="F30" s="26"/>
      <c r="G30" s="22"/>
      <c r="H30" s="22"/>
    </row>
    <row r="31" customFormat="false" ht="15" hidden="false" customHeight="false" outlineLevel="0" collapsed="false">
      <c r="A31" s="22"/>
      <c r="B31" s="22"/>
      <c r="C31" s="22"/>
      <c r="D31" s="22"/>
      <c r="E31" s="22"/>
      <c r="F31" s="26"/>
      <c r="G31" s="22"/>
      <c r="H31" s="22"/>
    </row>
    <row r="32" customFormat="false" ht="15" hidden="false" customHeight="false" outlineLevel="0" collapsed="false">
      <c r="A32" s="22"/>
      <c r="B32" s="22"/>
      <c r="C32" s="22"/>
      <c r="D32" s="22"/>
      <c r="E32" s="22"/>
      <c r="F32" s="26"/>
      <c r="G32" s="22"/>
      <c r="H32" s="22"/>
    </row>
    <row r="33" customFormat="false" ht="15" hidden="false" customHeight="false" outlineLevel="0" collapsed="false">
      <c r="A33" s="22"/>
      <c r="B33" s="22"/>
      <c r="C33" s="22"/>
      <c r="D33" s="22"/>
      <c r="E33" s="22"/>
      <c r="F33" s="26"/>
      <c r="G33" s="22"/>
      <c r="H33" s="22"/>
    </row>
    <row r="34" customFormat="false" ht="15" hidden="false" customHeight="false" outlineLevel="0" collapsed="false">
      <c r="A34" s="22"/>
      <c r="B34" s="22"/>
      <c r="C34" s="22"/>
      <c r="D34" s="22"/>
      <c r="E34" s="22"/>
      <c r="F34" s="26"/>
      <c r="G34" s="22"/>
      <c r="H34" s="22"/>
    </row>
    <row r="35" customFormat="false" ht="15" hidden="false" customHeight="false" outlineLevel="0" collapsed="false">
      <c r="A35" s="22"/>
      <c r="B35" s="22"/>
      <c r="C35" s="22"/>
      <c r="D35" s="22"/>
      <c r="E35" s="22"/>
      <c r="F35" s="26"/>
      <c r="G35" s="22"/>
      <c r="H35" s="22"/>
    </row>
    <row r="36" customFormat="false" ht="15" hidden="false" customHeight="false" outlineLevel="0" collapsed="false">
      <c r="A36" s="22"/>
      <c r="B36" s="22"/>
      <c r="C36" s="22"/>
      <c r="D36" s="22"/>
      <c r="E36" s="22"/>
      <c r="F36" s="26"/>
      <c r="G36" s="22"/>
      <c r="H36" s="22"/>
    </row>
    <row r="37" customFormat="false" ht="15" hidden="false" customHeight="false" outlineLevel="0" collapsed="false">
      <c r="A37" s="22"/>
      <c r="B37" s="22"/>
      <c r="C37" s="22"/>
      <c r="D37" s="22"/>
      <c r="E37" s="22"/>
      <c r="F37" s="26"/>
      <c r="G37" s="22"/>
      <c r="H37" s="22"/>
    </row>
    <row r="38" customFormat="false" ht="15" hidden="false" customHeight="false" outlineLevel="0" collapsed="false">
      <c r="A38" s="22"/>
      <c r="B38" s="22"/>
      <c r="C38" s="22"/>
      <c r="D38" s="22"/>
      <c r="E38" s="22"/>
      <c r="F38" s="26"/>
      <c r="G38" s="22"/>
      <c r="H38" s="22"/>
    </row>
    <row r="39" customFormat="false" ht="15" hidden="false" customHeight="false" outlineLevel="0" collapsed="false">
      <c r="A39" s="22"/>
      <c r="B39" s="22"/>
      <c r="C39" s="22"/>
      <c r="D39" s="22"/>
      <c r="E39" s="22"/>
      <c r="F39" s="26"/>
      <c r="G39" s="22"/>
      <c r="H39" s="22"/>
    </row>
    <row r="40" customFormat="false" ht="15" hidden="false" customHeight="false" outlineLevel="0" collapsed="false">
      <c r="A40" s="22"/>
      <c r="B40" s="22"/>
      <c r="C40" s="22"/>
      <c r="D40" s="22"/>
      <c r="E40" s="22"/>
      <c r="F40" s="26"/>
      <c r="G40" s="22"/>
      <c r="H40" s="22"/>
    </row>
    <row r="41" customFormat="false" ht="15" hidden="false" customHeight="false" outlineLevel="0" collapsed="false">
      <c r="A41" s="22"/>
      <c r="B41" s="22"/>
      <c r="C41" s="22"/>
      <c r="D41" s="22"/>
      <c r="E41" s="22"/>
      <c r="F41" s="26"/>
      <c r="G41" s="22"/>
      <c r="H41" s="22"/>
    </row>
    <row r="42" customFormat="false" ht="15" hidden="false" customHeight="false" outlineLevel="0" collapsed="false">
      <c r="A42" s="22"/>
      <c r="B42" s="22"/>
      <c r="C42" s="22"/>
      <c r="D42" s="22"/>
      <c r="E42" s="22"/>
      <c r="F42" s="26"/>
      <c r="G42" s="22"/>
      <c r="H42" s="22"/>
    </row>
    <row r="43" customFormat="false" ht="15" hidden="false" customHeight="false" outlineLevel="0" collapsed="false">
      <c r="A43" s="22"/>
      <c r="B43" s="22"/>
      <c r="C43" s="22"/>
      <c r="D43" s="22"/>
      <c r="E43" s="22"/>
      <c r="F43" s="26"/>
      <c r="G43" s="22"/>
      <c r="H43" s="22"/>
    </row>
    <row r="44" customFormat="false" ht="15" hidden="false" customHeight="false" outlineLevel="0" collapsed="false">
      <c r="A44" s="22"/>
      <c r="B44" s="22"/>
      <c r="C44" s="22"/>
      <c r="D44" s="22"/>
      <c r="E44" s="22"/>
      <c r="F44" s="26"/>
      <c r="G44" s="22"/>
      <c r="H44" s="22"/>
    </row>
    <row r="45" customFormat="false" ht="15" hidden="false" customHeight="false" outlineLevel="0" collapsed="false">
      <c r="A45" s="22"/>
      <c r="B45" s="22"/>
      <c r="C45" s="22"/>
      <c r="D45" s="22"/>
      <c r="E45" s="22"/>
      <c r="F45" s="26"/>
      <c r="G45" s="22"/>
      <c r="H45" s="22"/>
    </row>
    <row r="46" customFormat="false" ht="15" hidden="false" customHeight="false" outlineLevel="0" collapsed="false">
      <c r="A46" s="22"/>
      <c r="B46" s="22"/>
      <c r="C46" s="22"/>
      <c r="D46" s="22"/>
      <c r="E46" s="22"/>
      <c r="F46" s="26"/>
      <c r="G46" s="22"/>
      <c r="H46" s="22"/>
    </row>
    <row r="47" customFormat="false" ht="15" hidden="false" customHeight="false" outlineLevel="0" collapsed="false">
      <c r="A47" s="22"/>
      <c r="B47" s="22"/>
      <c r="C47" s="22"/>
      <c r="D47" s="22"/>
      <c r="E47" s="22"/>
      <c r="F47" s="26"/>
      <c r="G47" s="22"/>
      <c r="H47" s="22"/>
    </row>
    <row r="48" customFormat="false" ht="15" hidden="false" customHeight="false" outlineLevel="0" collapsed="false">
      <c r="A48" s="22"/>
      <c r="B48" s="22"/>
      <c r="C48" s="22"/>
      <c r="D48" s="22"/>
      <c r="E48" s="22"/>
      <c r="F48" s="26"/>
      <c r="G48" s="22"/>
      <c r="H48" s="22"/>
    </row>
    <row r="49" customFormat="false" ht="15" hidden="false" customHeight="false" outlineLevel="0" collapsed="false">
      <c r="A49" s="22"/>
      <c r="B49" s="22"/>
      <c r="C49" s="22"/>
      <c r="D49" s="22"/>
      <c r="E49" s="22"/>
      <c r="F49" s="26"/>
      <c r="G49" s="22"/>
      <c r="H49" s="22"/>
    </row>
    <row r="50" customFormat="false" ht="15" hidden="false" customHeight="false" outlineLevel="0" collapsed="false">
      <c r="A50" s="22"/>
      <c r="B50" s="22"/>
      <c r="C50" s="22"/>
      <c r="D50" s="22"/>
      <c r="E50" s="22"/>
      <c r="F50" s="26"/>
      <c r="G50" s="22"/>
      <c r="H50" s="22"/>
    </row>
    <row r="51" customFormat="false" ht="15" hidden="false" customHeight="false" outlineLevel="0" collapsed="false">
      <c r="A51" s="22"/>
      <c r="B51" s="22"/>
      <c r="C51" s="22"/>
      <c r="D51" s="22"/>
      <c r="E51" s="22"/>
      <c r="F51" s="26"/>
      <c r="G51" s="22"/>
      <c r="H51" s="22"/>
    </row>
    <row r="52" customFormat="false" ht="15" hidden="false" customHeight="false" outlineLevel="0" collapsed="false">
      <c r="A52" s="22"/>
      <c r="B52" s="22"/>
      <c r="C52" s="22"/>
      <c r="D52" s="22"/>
      <c r="E52" s="22"/>
      <c r="F52" s="26"/>
      <c r="G52" s="22"/>
      <c r="H52" s="22"/>
    </row>
    <row r="53" customFormat="false" ht="15" hidden="false" customHeight="false" outlineLevel="0" collapsed="false">
      <c r="A53" s="22"/>
      <c r="B53" s="22"/>
      <c r="C53" s="22"/>
      <c r="D53" s="22"/>
      <c r="E53" s="22"/>
      <c r="F53" s="26"/>
      <c r="G53" s="22"/>
      <c r="H53" s="22"/>
    </row>
    <row r="54" customFormat="false" ht="15" hidden="false" customHeight="false" outlineLevel="0" collapsed="false">
      <c r="A54" s="22"/>
      <c r="B54" s="22"/>
      <c r="C54" s="22"/>
      <c r="D54" s="22"/>
      <c r="E54" s="22"/>
      <c r="F54" s="26"/>
      <c r="G54" s="22"/>
      <c r="H54" s="22"/>
    </row>
    <row r="55" customFormat="false" ht="15" hidden="false" customHeight="false" outlineLevel="0" collapsed="false">
      <c r="A55" s="22"/>
      <c r="B55" s="22"/>
      <c r="C55" s="22"/>
      <c r="D55" s="22"/>
      <c r="E55" s="22"/>
      <c r="F55" s="26"/>
      <c r="G55" s="22"/>
      <c r="H55" s="22"/>
    </row>
    <row r="56" customFormat="false" ht="15" hidden="false" customHeight="false" outlineLevel="0" collapsed="false">
      <c r="A56" s="22"/>
      <c r="B56" s="22"/>
      <c r="C56" s="22"/>
      <c r="D56" s="22"/>
      <c r="E56" s="22"/>
      <c r="F56" s="26"/>
      <c r="G56" s="22"/>
      <c r="H56" s="22"/>
    </row>
    <row r="57" customFormat="false" ht="15" hidden="false" customHeight="false" outlineLevel="0" collapsed="false">
      <c r="A57" s="22"/>
      <c r="B57" s="22"/>
      <c r="C57" s="22"/>
      <c r="D57" s="22"/>
      <c r="E57" s="22"/>
      <c r="F57" s="26"/>
      <c r="G57" s="22"/>
      <c r="H57" s="22"/>
    </row>
    <row r="58" customFormat="false" ht="15" hidden="false" customHeight="false" outlineLevel="0" collapsed="false">
      <c r="A58" s="22"/>
      <c r="B58" s="22"/>
      <c r="C58" s="22"/>
      <c r="D58" s="22"/>
      <c r="E58" s="22"/>
      <c r="F58" s="26"/>
      <c r="G58" s="22"/>
      <c r="H58" s="22"/>
    </row>
    <row r="59" customFormat="false" ht="15" hidden="false" customHeight="false" outlineLevel="0" collapsed="false">
      <c r="A59" s="22"/>
      <c r="B59" s="22"/>
      <c r="C59" s="22"/>
      <c r="D59" s="22"/>
      <c r="E59" s="22"/>
      <c r="F59" s="26"/>
      <c r="G59" s="22"/>
      <c r="H59" s="22"/>
    </row>
    <row r="60" customFormat="false" ht="15" hidden="false" customHeight="false" outlineLevel="0" collapsed="false">
      <c r="A60" s="22"/>
      <c r="B60" s="22"/>
      <c r="C60" s="22"/>
      <c r="D60" s="22"/>
      <c r="E60" s="22"/>
      <c r="F60" s="26"/>
      <c r="G60" s="22"/>
      <c r="H60" s="22"/>
    </row>
    <row r="61" customFormat="false" ht="15" hidden="false" customHeight="false" outlineLevel="0" collapsed="false">
      <c r="A61" s="22"/>
      <c r="B61" s="22"/>
      <c r="C61" s="22"/>
      <c r="D61" s="22"/>
      <c r="E61" s="22"/>
      <c r="F61" s="26"/>
      <c r="G61" s="22"/>
      <c r="H61" s="22"/>
    </row>
    <row r="62" customFormat="false" ht="15" hidden="false" customHeight="false" outlineLevel="0" collapsed="false">
      <c r="A62" s="22"/>
      <c r="B62" s="22"/>
      <c r="C62" s="22"/>
      <c r="D62" s="22"/>
      <c r="E62" s="22"/>
      <c r="F62" s="26"/>
      <c r="G62" s="22"/>
      <c r="H62" s="22"/>
    </row>
    <row r="63" customFormat="false" ht="15" hidden="false" customHeight="false" outlineLevel="0" collapsed="false">
      <c r="A63" s="22"/>
      <c r="B63" s="22"/>
      <c r="C63" s="22"/>
      <c r="D63" s="22"/>
      <c r="E63" s="22"/>
      <c r="F63" s="26"/>
      <c r="G63" s="22"/>
      <c r="H63" s="22"/>
    </row>
    <row r="64" customFormat="false" ht="15" hidden="false" customHeight="false" outlineLevel="0" collapsed="false">
      <c r="A64" s="22"/>
      <c r="B64" s="22"/>
      <c r="C64" s="22"/>
      <c r="D64" s="22"/>
      <c r="E64" s="22"/>
      <c r="F64" s="26"/>
      <c r="G64" s="22"/>
      <c r="H64" s="22"/>
    </row>
    <row r="65" customFormat="false" ht="15" hidden="false" customHeight="false" outlineLevel="0" collapsed="false">
      <c r="A65" s="22"/>
      <c r="B65" s="22"/>
      <c r="C65" s="22"/>
      <c r="D65" s="22"/>
      <c r="E65" s="22"/>
      <c r="F65" s="26"/>
      <c r="G65" s="22"/>
      <c r="H65" s="22"/>
    </row>
    <row r="66" customFormat="false" ht="15" hidden="false" customHeight="false" outlineLevel="0" collapsed="false">
      <c r="A66" s="22"/>
      <c r="B66" s="22"/>
      <c r="C66" s="22"/>
      <c r="D66" s="22"/>
      <c r="E66" s="22"/>
      <c r="F66" s="26"/>
      <c r="G66" s="22"/>
      <c r="H66" s="22"/>
    </row>
    <row r="67" customFormat="false" ht="15" hidden="false" customHeight="false" outlineLevel="0" collapsed="false">
      <c r="A67" s="22"/>
      <c r="B67" s="22"/>
      <c r="C67" s="22"/>
      <c r="D67" s="22"/>
      <c r="E67" s="22"/>
      <c r="F67" s="26"/>
      <c r="G67" s="22"/>
      <c r="H67" s="22"/>
    </row>
    <row r="68" customFormat="false" ht="15" hidden="false" customHeight="false" outlineLevel="0" collapsed="false">
      <c r="A68" s="22"/>
      <c r="B68" s="22"/>
      <c r="C68" s="22"/>
      <c r="D68" s="22"/>
      <c r="E68" s="22"/>
      <c r="F68" s="26"/>
      <c r="G68" s="22"/>
      <c r="H68" s="22"/>
    </row>
    <row r="69" customFormat="false" ht="15" hidden="false" customHeight="false" outlineLevel="0" collapsed="false">
      <c r="A69" s="22"/>
      <c r="B69" s="22"/>
      <c r="C69" s="22"/>
      <c r="D69" s="22"/>
      <c r="E69" s="22"/>
      <c r="F69" s="26"/>
      <c r="G69" s="22"/>
      <c r="H69" s="22"/>
    </row>
    <row r="70" customFormat="false" ht="15" hidden="false" customHeight="false" outlineLevel="0" collapsed="false">
      <c r="A70" s="22"/>
      <c r="B70" s="22"/>
      <c r="C70" s="22"/>
      <c r="D70" s="22"/>
      <c r="E70" s="22"/>
      <c r="F70" s="26"/>
      <c r="G70" s="22"/>
      <c r="H70" s="22"/>
    </row>
    <row r="71" customFormat="false" ht="15" hidden="false" customHeight="false" outlineLevel="0" collapsed="false">
      <c r="A71" s="22"/>
      <c r="B71" s="22"/>
      <c r="C71" s="22"/>
      <c r="D71" s="22"/>
      <c r="E71" s="22"/>
      <c r="F71" s="26"/>
      <c r="G71" s="22"/>
      <c r="H71" s="22"/>
    </row>
    <row r="72" customFormat="false" ht="15" hidden="false" customHeight="false" outlineLevel="0" collapsed="false">
      <c r="A72" s="22"/>
      <c r="B72" s="22"/>
      <c r="C72" s="22"/>
      <c r="D72" s="22"/>
      <c r="E72" s="22"/>
      <c r="F72" s="26"/>
      <c r="G72" s="22"/>
      <c r="H72" s="22"/>
    </row>
    <row r="73" customFormat="false" ht="15" hidden="false" customHeight="false" outlineLevel="0" collapsed="false">
      <c r="A73" s="22"/>
      <c r="B73" s="22"/>
      <c r="C73" s="22"/>
      <c r="D73" s="22"/>
      <c r="E73" s="22"/>
      <c r="F73" s="26"/>
      <c r="G73" s="22"/>
      <c r="H73" s="22"/>
    </row>
    <row r="74" customFormat="false" ht="15" hidden="false" customHeight="false" outlineLevel="0" collapsed="false">
      <c r="A74" s="22"/>
      <c r="B74" s="22"/>
      <c r="C74" s="22"/>
      <c r="D74" s="22"/>
      <c r="E74" s="22"/>
      <c r="F74" s="26"/>
      <c r="G74" s="22"/>
      <c r="H74" s="22"/>
    </row>
    <row r="75" customFormat="false" ht="15" hidden="false" customHeight="false" outlineLevel="0" collapsed="false">
      <c r="A75" s="22"/>
      <c r="B75" s="22"/>
      <c r="C75" s="22"/>
      <c r="D75" s="22"/>
      <c r="E75" s="22"/>
      <c r="F75" s="26"/>
      <c r="G75" s="22"/>
      <c r="H75" s="22"/>
    </row>
    <row r="76" customFormat="false" ht="15" hidden="false" customHeight="false" outlineLevel="0" collapsed="false">
      <c r="A76" s="22"/>
      <c r="B76" s="22"/>
      <c r="C76" s="22"/>
      <c r="D76" s="22"/>
      <c r="E76" s="22"/>
      <c r="F76" s="26"/>
      <c r="G76" s="22"/>
      <c r="H76" s="22"/>
    </row>
    <row r="77" customFormat="false" ht="15" hidden="false" customHeight="false" outlineLevel="0" collapsed="false">
      <c r="A77" s="22"/>
      <c r="B77" s="22"/>
      <c r="C77" s="22"/>
      <c r="D77" s="22"/>
      <c r="E77" s="22"/>
      <c r="F77" s="26"/>
      <c r="G77" s="22"/>
      <c r="H77" s="22"/>
    </row>
    <row r="78" customFormat="false" ht="15" hidden="false" customHeight="false" outlineLevel="0" collapsed="false">
      <c r="A78" s="22"/>
      <c r="B78" s="22"/>
      <c r="C78" s="22"/>
      <c r="D78" s="22"/>
      <c r="E78" s="22"/>
      <c r="F78" s="26"/>
      <c r="G78" s="22"/>
      <c r="H78" s="22"/>
    </row>
    <row r="79" customFormat="false" ht="15" hidden="false" customHeight="false" outlineLevel="0" collapsed="false">
      <c r="A79" s="22"/>
      <c r="B79" s="22"/>
      <c r="C79" s="22"/>
      <c r="D79" s="22"/>
      <c r="E79" s="22"/>
      <c r="F79" s="26"/>
      <c r="G79" s="22"/>
      <c r="H79" s="22"/>
    </row>
    <row r="80" customFormat="false" ht="15" hidden="false" customHeight="false" outlineLevel="0" collapsed="false">
      <c r="A80" s="22"/>
      <c r="B80" s="22"/>
      <c r="C80" s="22"/>
      <c r="D80" s="22"/>
      <c r="E80" s="22"/>
      <c r="F80" s="26"/>
      <c r="G80" s="22"/>
      <c r="H80" s="22"/>
    </row>
    <row r="81" customFormat="false" ht="15" hidden="false" customHeight="false" outlineLevel="0" collapsed="false">
      <c r="A81" s="22"/>
      <c r="B81" s="22"/>
      <c r="C81" s="22"/>
      <c r="D81" s="22"/>
      <c r="E81" s="22"/>
      <c r="F81" s="26"/>
      <c r="G81" s="22"/>
      <c r="H81" s="22"/>
    </row>
    <row r="82" customFormat="false" ht="15" hidden="false" customHeight="false" outlineLevel="0" collapsed="false">
      <c r="A82" s="22"/>
      <c r="B82" s="22"/>
      <c r="C82" s="22"/>
      <c r="D82" s="22"/>
      <c r="E82" s="22"/>
      <c r="F82" s="26"/>
      <c r="G82" s="22"/>
      <c r="H82" s="22"/>
    </row>
    <row r="83" customFormat="false" ht="15" hidden="false" customHeight="false" outlineLevel="0" collapsed="false">
      <c r="A83" s="22"/>
      <c r="B83" s="22"/>
      <c r="C83" s="22"/>
      <c r="D83" s="22"/>
      <c r="E83" s="22"/>
      <c r="F83" s="26"/>
      <c r="G83" s="22"/>
      <c r="H83" s="22"/>
    </row>
    <row r="84" customFormat="false" ht="15" hidden="false" customHeight="false" outlineLevel="0" collapsed="false">
      <c r="A84" s="22"/>
      <c r="B84" s="22"/>
      <c r="C84" s="22"/>
      <c r="D84" s="22"/>
      <c r="E84" s="22"/>
      <c r="F84" s="26"/>
      <c r="G84" s="22"/>
      <c r="H84" s="22"/>
    </row>
    <row r="85" customFormat="false" ht="15" hidden="false" customHeight="false" outlineLevel="0" collapsed="false">
      <c r="A85" s="22"/>
      <c r="B85" s="22"/>
      <c r="C85" s="22"/>
      <c r="D85" s="22"/>
      <c r="E85" s="22"/>
      <c r="F85" s="26"/>
      <c r="G85" s="22"/>
      <c r="H85" s="22"/>
    </row>
    <row r="86" customFormat="false" ht="15" hidden="false" customHeight="false" outlineLevel="0" collapsed="false">
      <c r="A86" s="22"/>
      <c r="B86" s="22"/>
      <c r="C86" s="22"/>
      <c r="D86" s="22"/>
      <c r="E86" s="22"/>
      <c r="F86" s="26"/>
      <c r="G86" s="22"/>
      <c r="H86" s="22"/>
    </row>
    <row r="87" customFormat="false" ht="15" hidden="false" customHeight="false" outlineLevel="0" collapsed="false">
      <c r="A87" s="22"/>
      <c r="B87" s="22"/>
      <c r="C87" s="22"/>
      <c r="D87" s="22"/>
      <c r="E87" s="22"/>
      <c r="F87" s="26"/>
      <c r="G87" s="22"/>
      <c r="H87" s="22"/>
    </row>
    <row r="88" customFormat="false" ht="15" hidden="false" customHeight="false" outlineLevel="0" collapsed="false">
      <c r="A88" s="22"/>
      <c r="B88" s="22"/>
      <c r="C88" s="22"/>
      <c r="D88" s="22"/>
      <c r="E88" s="22"/>
      <c r="F88" s="26"/>
      <c r="G88" s="22"/>
      <c r="H88" s="22"/>
    </row>
    <row r="89" customFormat="false" ht="15" hidden="false" customHeight="false" outlineLevel="0" collapsed="false">
      <c r="A89" s="22"/>
      <c r="B89" s="22"/>
      <c r="C89" s="22"/>
      <c r="D89" s="22"/>
      <c r="E89" s="22"/>
      <c r="F89" s="26"/>
      <c r="G89" s="22"/>
      <c r="H89" s="22"/>
    </row>
    <row r="90" customFormat="false" ht="15" hidden="false" customHeight="false" outlineLevel="0" collapsed="false">
      <c r="A90" s="22"/>
      <c r="B90" s="22"/>
      <c r="C90" s="22"/>
      <c r="D90" s="22"/>
      <c r="E90" s="22"/>
      <c r="F90" s="26"/>
      <c r="G90" s="22"/>
      <c r="H90" s="22"/>
    </row>
    <row r="91" customFormat="false" ht="15" hidden="false" customHeight="false" outlineLevel="0" collapsed="false">
      <c r="A91" s="22"/>
      <c r="B91" s="22"/>
      <c r="C91" s="22"/>
      <c r="D91" s="22"/>
      <c r="E91" s="22"/>
      <c r="F91" s="26"/>
      <c r="G91" s="22"/>
      <c r="H91" s="22"/>
    </row>
    <row r="92" customFormat="false" ht="15" hidden="false" customHeight="false" outlineLevel="0" collapsed="false">
      <c r="A92" s="22"/>
      <c r="B92" s="22"/>
      <c r="C92" s="22"/>
      <c r="D92" s="22"/>
      <c r="E92" s="22"/>
      <c r="F92" s="26"/>
      <c r="G92" s="22"/>
      <c r="H92" s="22"/>
    </row>
    <row r="93" customFormat="false" ht="15" hidden="false" customHeight="false" outlineLevel="0" collapsed="false">
      <c r="A93" s="22"/>
      <c r="B93" s="22"/>
      <c r="C93" s="22"/>
      <c r="D93" s="22"/>
      <c r="E93" s="22"/>
      <c r="F93" s="26"/>
      <c r="G93" s="22"/>
      <c r="H93" s="22"/>
    </row>
    <row r="94" customFormat="false" ht="15" hidden="false" customHeight="false" outlineLevel="0" collapsed="false">
      <c r="A94" s="22"/>
      <c r="B94" s="22"/>
      <c r="C94" s="22"/>
      <c r="D94" s="22"/>
      <c r="E94" s="22"/>
      <c r="F94" s="26"/>
      <c r="G94" s="22"/>
      <c r="H94" s="22"/>
    </row>
    <row r="95" customFormat="false" ht="15" hidden="false" customHeight="false" outlineLevel="0" collapsed="false">
      <c r="A95" s="22"/>
      <c r="B95" s="22"/>
      <c r="C95" s="22"/>
      <c r="D95" s="22"/>
      <c r="E95" s="22"/>
      <c r="F95" s="26"/>
      <c r="G95" s="22"/>
      <c r="H95" s="22"/>
    </row>
    <row r="96" customFormat="false" ht="15" hidden="false" customHeight="false" outlineLevel="0" collapsed="false">
      <c r="A96" s="22"/>
      <c r="B96" s="22"/>
      <c r="C96" s="22"/>
      <c r="D96" s="22"/>
      <c r="E96" s="22"/>
      <c r="F96" s="26"/>
      <c r="G96" s="22"/>
      <c r="H96" s="22"/>
    </row>
    <row r="97" customFormat="false" ht="15" hidden="false" customHeight="false" outlineLevel="0" collapsed="false">
      <c r="A97" s="22"/>
      <c r="B97" s="22"/>
      <c r="C97" s="22"/>
      <c r="D97" s="22"/>
      <c r="E97" s="22"/>
      <c r="F97" s="26"/>
      <c r="G97" s="22"/>
      <c r="H97" s="22"/>
    </row>
    <row r="98" customFormat="false" ht="15" hidden="false" customHeight="false" outlineLevel="0" collapsed="false">
      <c r="A98" s="22"/>
      <c r="B98" s="22"/>
      <c r="C98" s="22"/>
      <c r="D98" s="22"/>
      <c r="E98" s="22"/>
      <c r="F98" s="26"/>
      <c r="G98" s="22"/>
      <c r="H98" s="22"/>
    </row>
    <row r="99" customFormat="false" ht="15" hidden="false" customHeight="false" outlineLevel="0" collapsed="false">
      <c r="A99" s="22"/>
      <c r="B99" s="22"/>
      <c r="C99" s="22"/>
      <c r="D99" s="22"/>
      <c r="E99" s="22"/>
      <c r="F99" s="26"/>
      <c r="G99" s="22"/>
      <c r="H99" s="22"/>
    </row>
    <row r="100" customFormat="false" ht="15" hidden="false" customHeight="false" outlineLevel="0" collapsed="false">
      <c r="A100" s="22"/>
      <c r="B100" s="22"/>
      <c r="C100" s="22"/>
      <c r="D100" s="22"/>
      <c r="E100" s="22"/>
      <c r="F100" s="26"/>
      <c r="G100" s="22"/>
      <c r="H100" s="22"/>
    </row>
    <row r="101" customFormat="false" ht="15" hidden="false" customHeight="false" outlineLevel="0" collapsed="false">
      <c r="A101" s="22"/>
      <c r="B101" s="22"/>
      <c r="C101" s="22"/>
      <c r="D101" s="22"/>
      <c r="E101" s="22"/>
      <c r="F101" s="26"/>
      <c r="G101" s="22"/>
      <c r="H101" s="22"/>
    </row>
    <row r="102" customFormat="false" ht="15" hidden="false" customHeight="false" outlineLevel="0" collapsed="false">
      <c r="A102" s="22"/>
      <c r="B102" s="22"/>
      <c r="C102" s="22"/>
      <c r="D102" s="22"/>
      <c r="E102" s="22"/>
      <c r="F102" s="26"/>
      <c r="G102" s="22"/>
      <c r="H102" s="22"/>
    </row>
    <row r="103" customFormat="false" ht="15" hidden="false" customHeight="false" outlineLevel="0" collapsed="false">
      <c r="A103" s="22"/>
      <c r="B103" s="22"/>
      <c r="C103" s="22"/>
      <c r="D103" s="22"/>
      <c r="E103" s="22"/>
      <c r="F103" s="26"/>
      <c r="G103" s="22"/>
      <c r="H103" s="22"/>
    </row>
    <row r="104" customFormat="false" ht="15" hidden="false" customHeight="false" outlineLevel="0" collapsed="false">
      <c r="A104" s="22"/>
      <c r="B104" s="22"/>
      <c r="C104" s="22"/>
      <c r="D104" s="22"/>
      <c r="E104" s="22"/>
      <c r="F104" s="26"/>
      <c r="G104" s="22"/>
      <c r="H104" s="22"/>
    </row>
    <row r="105" customFormat="false" ht="15" hidden="false" customHeight="false" outlineLevel="0" collapsed="false">
      <c r="A105" s="22"/>
      <c r="B105" s="22"/>
      <c r="C105" s="22"/>
      <c r="D105" s="22"/>
      <c r="E105" s="22"/>
      <c r="F105" s="26"/>
      <c r="G105" s="22"/>
      <c r="H105" s="22"/>
    </row>
    <row r="106" customFormat="false" ht="15" hidden="false" customHeight="false" outlineLevel="0" collapsed="false">
      <c r="A106" s="22"/>
      <c r="B106" s="22"/>
      <c r="C106" s="22"/>
      <c r="D106" s="22"/>
      <c r="E106" s="22"/>
      <c r="F106" s="26"/>
      <c r="G106" s="22"/>
      <c r="H106" s="22"/>
    </row>
    <row r="107" customFormat="false" ht="15" hidden="false" customHeight="false" outlineLevel="0" collapsed="false">
      <c r="A107" s="22"/>
      <c r="B107" s="22"/>
      <c r="C107" s="22"/>
      <c r="D107" s="22"/>
      <c r="E107" s="22"/>
      <c r="F107" s="26"/>
      <c r="G107" s="22"/>
      <c r="H107" s="22"/>
    </row>
    <row r="108" customFormat="false" ht="15" hidden="false" customHeight="false" outlineLevel="0" collapsed="false">
      <c r="A108" s="22"/>
      <c r="B108" s="22"/>
      <c r="C108" s="22"/>
      <c r="D108" s="22"/>
      <c r="E108" s="22"/>
      <c r="F108" s="26"/>
      <c r="G108" s="22"/>
      <c r="H108" s="22"/>
    </row>
    <row r="109" customFormat="false" ht="15" hidden="false" customHeight="false" outlineLevel="0" collapsed="false">
      <c r="A109" s="22"/>
      <c r="B109" s="22"/>
      <c r="C109" s="22"/>
      <c r="D109" s="22"/>
      <c r="E109" s="22"/>
      <c r="F109" s="26"/>
      <c r="G109" s="22"/>
      <c r="H109" s="22"/>
    </row>
    <row r="110" customFormat="false" ht="15" hidden="false" customHeight="false" outlineLevel="0" collapsed="false">
      <c r="A110" s="22"/>
      <c r="B110" s="22"/>
      <c r="C110" s="22"/>
      <c r="D110" s="22"/>
      <c r="E110" s="22"/>
      <c r="F110" s="26"/>
      <c r="G110" s="22"/>
      <c r="H110" s="22"/>
    </row>
    <row r="111" customFormat="false" ht="15" hidden="false" customHeight="false" outlineLevel="0" collapsed="false">
      <c r="A111" s="22"/>
      <c r="B111" s="22"/>
      <c r="C111" s="22"/>
      <c r="D111" s="22"/>
      <c r="E111" s="22"/>
      <c r="F111" s="26"/>
      <c r="G111" s="22"/>
      <c r="H111" s="22"/>
    </row>
    <row r="112" customFormat="false" ht="15" hidden="false" customHeight="false" outlineLevel="0" collapsed="false">
      <c r="A112" s="22"/>
      <c r="B112" s="22"/>
      <c r="C112" s="22"/>
      <c r="D112" s="22"/>
      <c r="E112" s="22"/>
      <c r="F112" s="26"/>
      <c r="G112" s="22"/>
      <c r="H112" s="22"/>
    </row>
    <row r="113" customFormat="false" ht="15" hidden="false" customHeight="false" outlineLevel="0" collapsed="false">
      <c r="A113" s="22"/>
      <c r="B113" s="22"/>
      <c r="C113" s="22"/>
      <c r="D113" s="22"/>
      <c r="E113" s="22"/>
      <c r="F113" s="26"/>
      <c r="G113" s="22"/>
      <c r="H113" s="22"/>
    </row>
    <row r="114" customFormat="false" ht="15" hidden="false" customHeight="false" outlineLevel="0" collapsed="false">
      <c r="A114" s="22"/>
      <c r="B114" s="22"/>
      <c r="C114" s="22"/>
      <c r="D114" s="22"/>
      <c r="E114" s="22"/>
      <c r="F114" s="26"/>
      <c r="G114" s="22"/>
      <c r="H114" s="22"/>
    </row>
    <row r="115" customFormat="false" ht="15" hidden="false" customHeight="false" outlineLevel="0" collapsed="false">
      <c r="A115" s="22"/>
      <c r="B115" s="22"/>
      <c r="C115" s="22"/>
      <c r="D115" s="22"/>
      <c r="E115" s="22"/>
      <c r="F115" s="26"/>
      <c r="G115" s="22"/>
      <c r="H115" s="22"/>
    </row>
    <row r="116" customFormat="false" ht="15" hidden="false" customHeight="false" outlineLevel="0" collapsed="false">
      <c r="A116" s="22"/>
      <c r="B116" s="22"/>
      <c r="C116" s="22"/>
      <c r="D116" s="22"/>
      <c r="E116" s="22"/>
      <c r="F116" s="26"/>
      <c r="G116" s="22"/>
      <c r="H116" s="22"/>
    </row>
    <row r="117" customFormat="false" ht="15" hidden="false" customHeight="false" outlineLevel="0" collapsed="false">
      <c r="A117" s="22"/>
      <c r="B117" s="22"/>
      <c r="C117" s="22"/>
      <c r="D117" s="22"/>
      <c r="E117" s="22"/>
      <c r="F117" s="26"/>
      <c r="G117" s="22"/>
      <c r="H117" s="22"/>
    </row>
    <row r="118" customFormat="false" ht="15" hidden="false" customHeight="false" outlineLevel="0" collapsed="false">
      <c r="A118" s="22"/>
      <c r="B118" s="22"/>
      <c r="C118" s="22"/>
      <c r="D118" s="22"/>
      <c r="E118" s="22"/>
      <c r="F118" s="26"/>
      <c r="G118" s="22"/>
      <c r="H118" s="22"/>
    </row>
    <row r="119" customFormat="false" ht="15" hidden="false" customHeight="false" outlineLevel="0" collapsed="false">
      <c r="A119" s="22"/>
      <c r="B119" s="22"/>
      <c r="C119" s="22"/>
      <c r="D119" s="22"/>
      <c r="E119" s="22"/>
      <c r="F119" s="26"/>
      <c r="G119" s="22"/>
      <c r="H119" s="22"/>
    </row>
    <row r="120" customFormat="false" ht="15" hidden="false" customHeight="false" outlineLevel="0" collapsed="false">
      <c r="A120" s="22"/>
      <c r="B120" s="22"/>
      <c r="C120" s="22"/>
      <c r="D120" s="22"/>
      <c r="E120" s="22"/>
      <c r="F120" s="26"/>
      <c r="G120" s="22"/>
      <c r="H120" s="22"/>
    </row>
    <row r="121" customFormat="false" ht="15" hidden="false" customHeight="false" outlineLevel="0" collapsed="false">
      <c r="A121" s="22"/>
      <c r="B121" s="22"/>
      <c r="C121" s="22"/>
      <c r="D121" s="22"/>
      <c r="E121" s="22"/>
      <c r="F121" s="26"/>
      <c r="G121" s="22"/>
      <c r="H121" s="22"/>
    </row>
    <row r="122" customFormat="false" ht="15" hidden="false" customHeight="false" outlineLevel="0" collapsed="false">
      <c r="A122" s="22"/>
      <c r="B122" s="22"/>
      <c r="C122" s="22"/>
      <c r="D122" s="22"/>
      <c r="E122" s="22"/>
      <c r="F122" s="26"/>
      <c r="G122" s="22"/>
      <c r="H122" s="22"/>
    </row>
    <row r="123" customFormat="false" ht="15" hidden="false" customHeight="false" outlineLevel="0" collapsed="false">
      <c r="A123" s="22"/>
      <c r="B123" s="22"/>
      <c r="C123" s="22"/>
      <c r="D123" s="22"/>
      <c r="E123" s="22"/>
      <c r="F123" s="26"/>
      <c r="G123" s="22"/>
      <c r="H123" s="22"/>
    </row>
    <row r="124" customFormat="false" ht="15" hidden="false" customHeight="false" outlineLevel="0" collapsed="false">
      <c r="A124" s="22"/>
      <c r="B124" s="22"/>
      <c r="C124" s="22"/>
      <c r="D124" s="22"/>
      <c r="E124" s="22"/>
      <c r="F124" s="26"/>
      <c r="G124" s="22"/>
      <c r="H124" s="22"/>
    </row>
  </sheetData>
  <dataValidations count="1">
    <dataValidation allowBlank="true" error="Please pick a value from the list (edit lists on the Settings tab)." errorStyle="stop" errorTitle="Not in list" operator="between" showDropDown="false" showErrorMessage="true" showInputMessage="false" sqref="G5:G124" type="list">
      <formula1>"1,2,3,4,5"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H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3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30"/>
  </cols>
  <sheetData>
    <row r="1" customFormat="false" ht="30" hidden="false" customHeight="true" outlineLevel="0" collapsed="false">
      <c r="A1" s="7" t="s">
        <v>270</v>
      </c>
    </row>
    <row r="2" customFormat="false" ht="15" hidden="false" customHeight="false" outlineLevel="0" collapsed="false">
      <c r="A2" s="2" t="s">
        <v>271</v>
      </c>
    </row>
    <row r="3" customFormat="false" ht="15" hidden="false" customHeight="false" outlineLevel="0" collapsed="false">
      <c r="A3" s="19" t="s">
        <v>58</v>
      </c>
    </row>
    <row r="4" customFormat="false" ht="33.75" hidden="false" customHeight="true" outlineLevel="0" collapsed="false">
      <c r="A4" s="13" t="s">
        <v>272</v>
      </c>
      <c r="B4" s="13" t="s">
        <v>273</v>
      </c>
      <c r="C4" s="13" t="s">
        <v>274</v>
      </c>
      <c r="D4" s="13" t="s">
        <v>275</v>
      </c>
      <c r="E4" s="13" t="s">
        <v>276</v>
      </c>
      <c r="F4" s="13" t="s">
        <v>277</v>
      </c>
      <c r="G4" s="13" t="s">
        <v>42</v>
      </c>
      <c r="H4" s="13" t="s">
        <v>76</v>
      </c>
    </row>
    <row r="5" customFormat="false" ht="15" hidden="false" customHeight="false" outlineLevel="0" collapsed="false">
      <c r="A5" s="22" t="s">
        <v>278</v>
      </c>
      <c r="B5" s="22" t="s">
        <v>279</v>
      </c>
      <c r="C5" s="22"/>
      <c r="D5" s="26" t="n">
        <f aca="false">Settings!$C$6-30</f>
        <v>46259</v>
      </c>
      <c r="E5" s="22" t="n">
        <v>90</v>
      </c>
      <c r="F5" s="28" t="n">
        <f aca="false">IF(OR(A5="",D5=""),"",D5+IF(E5="",90,E5))</f>
        <v>46349</v>
      </c>
      <c r="G5" s="21" t="str">
        <f aca="false">IF(A5="","",IF(D5="","Not written yet",IF(F5&lt;=Settings!$C$6,"Review due","OK")))</f>
        <v>OK</v>
      </c>
      <c r="H5" s="22" t="s">
        <v>86</v>
      </c>
    </row>
    <row r="6" customFormat="false" ht="15" hidden="false" customHeight="false" outlineLevel="0" collapsed="false">
      <c r="A6" s="22" t="s">
        <v>280</v>
      </c>
      <c r="B6" s="22" t="s">
        <v>281</v>
      </c>
      <c r="C6" s="22"/>
      <c r="D6" s="26" t="n">
        <f aca="false">Settings!$C$6-95</f>
        <v>46194</v>
      </c>
      <c r="E6" s="22" t="n">
        <v>90</v>
      </c>
      <c r="F6" s="28" t="n">
        <f aca="false">IF(OR(A6="",D6=""),"",D6+IF(E6="",90,E6))</f>
        <v>46284</v>
      </c>
      <c r="G6" s="21" t="str">
        <f aca="false">IF(A6="","",IF(D6="","Not written yet",IF(F6&lt;=Settings!$C$6,"Review due","OK")))</f>
        <v>Review due</v>
      </c>
      <c r="H6" s="22" t="s">
        <v>86</v>
      </c>
    </row>
    <row r="7" customFormat="false" ht="15" hidden="false" customHeight="false" outlineLevel="0" collapsed="false">
      <c r="A7" s="22" t="s">
        <v>282</v>
      </c>
      <c r="B7" s="22" t="s">
        <v>283</v>
      </c>
      <c r="C7" s="22"/>
      <c r="D7" s="26"/>
      <c r="E7" s="22" t="n">
        <v>90</v>
      </c>
      <c r="F7" s="28" t="str">
        <f aca="false">IF(OR(A7="",D7=""),"",D7+IF(E7="",90,E7))</f>
        <v/>
      </c>
      <c r="G7" s="21" t="str">
        <f aca="false">IF(A7="","",IF(D7="","Not written yet",IF(F7&lt;=Settings!$C$6,"Review due","OK")))</f>
        <v>Not written yet</v>
      </c>
      <c r="H7" s="22" t="s">
        <v>86</v>
      </c>
    </row>
    <row r="8" customFormat="false" ht="15" hidden="false" customHeight="false" outlineLevel="0" collapsed="false">
      <c r="A8" s="22" t="s">
        <v>284</v>
      </c>
      <c r="B8" s="22" t="s">
        <v>285</v>
      </c>
      <c r="C8" s="22"/>
      <c r="D8" s="26"/>
      <c r="E8" s="22" t="n">
        <v>180</v>
      </c>
      <c r="F8" s="28" t="str">
        <f aca="false">IF(OR(A8="",D8=""),"",D8+IF(E8="",90,E8))</f>
        <v/>
      </c>
      <c r="G8" s="21" t="str">
        <f aca="false">IF(A8="","",IF(D8="","Not written yet",IF(F8&lt;=Settings!$C$6,"Review due","OK")))</f>
        <v>Not written yet</v>
      </c>
      <c r="H8" s="22" t="s">
        <v>86</v>
      </c>
    </row>
    <row r="9" customFormat="false" ht="15" hidden="false" customHeight="false" outlineLevel="0" collapsed="false">
      <c r="A9" s="22" t="s">
        <v>286</v>
      </c>
      <c r="B9" s="22" t="s">
        <v>287</v>
      </c>
      <c r="C9" s="22"/>
      <c r="D9" s="26" t="n">
        <f aca="false">Settings!$C$6-7</f>
        <v>46282</v>
      </c>
      <c r="E9" s="22" t="n">
        <v>90</v>
      </c>
      <c r="F9" s="28" t="n">
        <f aca="false">IF(OR(A9="",D9=""),"",D9+IF(E9="",90,E9))</f>
        <v>46372</v>
      </c>
      <c r="G9" s="21" t="str">
        <f aca="false">IF(A9="","",IF(D9="","Not written yet",IF(F9&lt;=Settings!$C$6,"Review due","OK")))</f>
        <v>OK</v>
      </c>
      <c r="H9" s="22" t="s">
        <v>86</v>
      </c>
    </row>
    <row r="10" customFormat="false" ht="15" hidden="false" customHeight="false" outlineLevel="0" collapsed="false">
      <c r="A10" s="22"/>
      <c r="B10" s="22"/>
      <c r="C10" s="22"/>
      <c r="D10" s="26"/>
      <c r="E10" s="22"/>
      <c r="F10" s="28" t="str">
        <f aca="false">IF(OR(A10="",D10=""),"",D10+IF(E10="",90,E10))</f>
        <v/>
      </c>
      <c r="G10" s="21" t="str">
        <f aca="false">IF(A10="","",IF(D10="","Not written yet",IF(F10&lt;=Settings!$C$6,"Review due","OK")))</f>
        <v/>
      </c>
      <c r="H10" s="22"/>
    </row>
    <row r="11" customFormat="false" ht="15" hidden="false" customHeight="false" outlineLevel="0" collapsed="false">
      <c r="A11" s="22"/>
      <c r="B11" s="22"/>
      <c r="C11" s="22"/>
      <c r="D11" s="26"/>
      <c r="E11" s="22"/>
      <c r="F11" s="28" t="str">
        <f aca="false">IF(OR(A11="",D11=""),"",D11+IF(E11="",90,E11))</f>
        <v/>
      </c>
      <c r="G11" s="21" t="str">
        <f aca="false">IF(A11="","",IF(D11="","Not written yet",IF(F11&lt;=Settings!$C$6,"Review due","OK")))</f>
        <v/>
      </c>
      <c r="H11" s="22"/>
    </row>
    <row r="12" customFormat="false" ht="15" hidden="false" customHeight="false" outlineLevel="0" collapsed="false">
      <c r="A12" s="22"/>
      <c r="B12" s="22"/>
      <c r="C12" s="22"/>
      <c r="D12" s="26"/>
      <c r="E12" s="22"/>
      <c r="F12" s="28" t="str">
        <f aca="false">IF(OR(A12="",D12=""),"",D12+IF(E12="",90,E12))</f>
        <v/>
      </c>
      <c r="G12" s="21" t="str">
        <f aca="false">IF(A12="","",IF(D12="","Not written yet",IF(F12&lt;=Settings!$C$6,"Review due","OK")))</f>
        <v/>
      </c>
      <c r="H12" s="22"/>
    </row>
    <row r="13" customFormat="false" ht="15" hidden="false" customHeight="false" outlineLevel="0" collapsed="false">
      <c r="A13" s="22"/>
      <c r="B13" s="22"/>
      <c r="C13" s="22"/>
      <c r="D13" s="26"/>
      <c r="E13" s="22"/>
      <c r="F13" s="28" t="str">
        <f aca="false">IF(OR(A13="",D13=""),"",D13+IF(E13="",90,E13))</f>
        <v/>
      </c>
      <c r="G13" s="21" t="str">
        <f aca="false">IF(A13="","",IF(D13="","Not written yet",IF(F13&lt;=Settings!$C$6,"Review due","OK")))</f>
        <v/>
      </c>
      <c r="H13" s="22"/>
    </row>
    <row r="14" customFormat="false" ht="15" hidden="false" customHeight="false" outlineLevel="0" collapsed="false">
      <c r="A14" s="22"/>
      <c r="B14" s="22"/>
      <c r="C14" s="22"/>
      <c r="D14" s="26"/>
      <c r="E14" s="22"/>
      <c r="F14" s="28" t="str">
        <f aca="false">IF(OR(A14="",D14=""),"",D14+IF(E14="",90,E14))</f>
        <v/>
      </c>
      <c r="G14" s="21" t="str">
        <f aca="false">IF(A14="","",IF(D14="","Not written yet",IF(F14&lt;=Settings!$C$6,"Review due","OK")))</f>
        <v/>
      </c>
      <c r="H14" s="22"/>
    </row>
    <row r="15" customFormat="false" ht="15" hidden="false" customHeight="false" outlineLevel="0" collapsed="false">
      <c r="A15" s="22"/>
      <c r="B15" s="22"/>
      <c r="C15" s="22"/>
      <c r="D15" s="26"/>
      <c r="E15" s="22"/>
      <c r="F15" s="28" t="str">
        <f aca="false">IF(OR(A15="",D15=""),"",D15+IF(E15="",90,E15))</f>
        <v/>
      </c>
      <c r="G15" s="21" t="str">
        <f aca="false">IF(A15="","",IF(D15="","Not written yet",IF(F15&lt;=Settings!$C$6,"Review due","OK")))</f>
        <v/>
      </c>
      <c r="H15" s="22"/>
    </row>
    <row r="16" customFormat="false" ht="15" hidden="false" customHeight="false" outlineLevel="0" collapsed="false">
      <c r="A16" s="22"/>
      <c r="B16" s="22"/>
      <c r="C16" s="22"/>
      <c r="D16" s="26"/>
      <c r="E16" s="22"/>
      <c r="F16" s="28" t="str">
        <f aca="false">IF(OR(A16="",D16=""),"",D16+IF(E16="",90,E16))</f>
        <v/>
      </c>
      <c r="G16" s="21" t="str">
        <f aca="false">IF(A16="","",IF(D16="","Not written yet",IF(F16&lt;=Settings!$C$6,"Review due","OK")))</f>
        <v/>
      </c>
      <c r="H16" s="22"/>
    </row>
    <row r="17" customFormat="false" ht="15" hidden="false" customHeight="false" outlineLevel="0" collapsed="false">
      <c r="A17" s="22"/>
      <c r="B17" s="22"/>
      <c r="C17" s="22"/>
      <c r="D17" s="26"/>
      <c r="E17" s="22"/>
      <c r="F17" s="28" t="str">
        <f aca="false">IF(OR(A17="",D17=""),"",D17+IF(E17="",90,E17))</f>
        <v/>
      </c>
      <c r="G17" s="21" t="str">
        <f aca="false">IF(A17="","",IF(D17="","Not written yet",IF(F17&lt;=Settings!$C$6,"Review due","OK")))</f>
        <v/>
      </c>
      <c r="H17" s="22"/>
    </row>
    <row r="18" customFormat="false" ht="15" hidden="false" customHeight="false" outlineLevel="0" collapsed="false">
      <c r="A18" s="22"/>
      <c r="B18" s="22"/>
      <c r="C18" s="22"/>
      <c r="D18" s="26"/>
      <c r="E18" s="22"/>
      <c r="F18" s="28" t="str">
        <f aca="false">IF(OR(A18="",D18=""),"",D18+IF(E18="",90,E18))</f>
        <v/>
      </c>
      <c r="G18" s="21" t="str">
        <f aca="false">IF(A18="","",IF(D18="","Not written yet",IF(F18&lt;=Settings!$C$6,"Review due","OK")))</f>
        <v/>
      </c>
      <c r="H18" s="22"/>
    </row>
    <row r="19" customFormat="false" ht="15" hidden="false" customHeight="false" outlineLevel="0" collapsed="false">
      <c r="A19" s="22"/>
      <c r="B19" s="22"/>
      <c r="C19" s="22"/>
      <c r="D19" s="26"/>
      <c r="E19" s="22"/>
      <c r="F19" s="28" t="str">
        <f aca="false">IF(OR(A19="",D19=""),"",D19+IF(E19="",90,E19))</f>
        <v/>
      </c>
      <c r="G19" s="21" t="str">
        <f aca="false">IF(A19="","",IF(D19="","Not written yet",IF(F19&lt;=Settings!$C$6,"Review due","OK")))</f>
        <v/>
      </c>
      <c r="H19" s="22"/>
    </row>
    <row r="20" customFormat="false" ht="15" hidden="false" customHeight="false" outlineLevel="0" collapsed="false">
      <c r="A20" s="22"/>
      <c r="B20" s="22"/>
      <c r="C20" s="22"/>
      <c r="D20" s="26"/>
      <c r="E20" s="22"/>
      <c r="F20" s="28" t="str">
        <f aca="false">IF(OR(A20="",D20=""),"",D20+IF(E20="",90,E20))</f>
        <v/>
      </c>
      <c r="G20" s="21" t="str">
        <f aca="false">IF(A20="","",IF(D20="","Not written yet",IF(F20&lt;=Settings!$C$6,"Review due","OK")))</f>
        <v/>
      </c>
      <c r="H20" s="22"/>
    </row>
    <row r="21" customFormat="false" ht="15" hidden="false" customHeight="false" outlineLevel="0" collapsed="false">
      <c r="A21" s="22"/>
      <c r="B21" s="22"/>
      <c r="C21" s="22"/>
      <c r="D21" s="26"/>
      <c r="E21" s="22"/>
      <c r="F21" s="28" t="str">
        <f aca="false">IF(OR(A21="",D21=""),"",D21+IF(E21="",90,E21))</f>
        <v/>
      </c>
      <c r="G21" s="21" t="str">
        <f aca="false">IF(A21="","",IF(D21="","Not written yet",IF(F21&lt;=Settings!$C$6,"Review due","OK")))</f>
        <v/>
      </c>
      <c r="H21" s="22"/>
    </row>
    <row r="22" customFormat="false" ht="15" hidden="false" customHeight="false" outlineLevel="0" collapsed="false">
      <c r="A22" s="22"/>
      <c r="B22" s="22"/>
      <c r="C22" s="22"/>
      <c r="D22" s="26"/>
      <c r="E22" s="22"/>
      <c r="F22" s="28" t="str">
        <f aca="false">IF(OR(A22="",D22=""),"",D22+IF(E22="",90,E22))</f>
        <v/>
      </c>
      <c r="G22" s="21" t="str">
        <f aca="false">IF(A22="","",IF(D22="","Not written yet",IF(F22&lt;=Settings!$C$6,"Review due","OK")))</f>
        <v/>
      </c>
      <c r="H22" s="22"/>
    </row>
    <row r="23" customFormat="false" ht="15" hidden="false" customHeight="false" outlineLevel="0" collapsed="false">
      <c r="A23" s="22"/>
      <c r="B23" s="22"/>
      <c r="C23" s="22"/>
      <c r="D23" s="26"/>
      <c r="E23" s="22"/>
      <c r="F23" s="28" t="str">
        <f aca="false">IF(OR(A23="",D23=""),"",D23+IF(E23="",90,E23))</f>
        <v/>
      </c>
      <c r="G23" s="21" t="str">
        <f aca="false">IF(A23="","",IF(D23="","Not written yet",IF(F23&lt;=Settings!$C$6,"Review due","OK")))</f>
        <v/>
      </c>
      <c r="H23" s="22"/>
    </row>
    <row r="24" customFormat="false" ht="15" hidden="false" customHeight="false" outlineLevel="0" collapsed="false">
      <c r="A24" s="22"/>
      <c r="B24" s="22"/>
      <c r="C24" s="22"/>
      <c r="D24" s="26"/>
      <c r="E24" s="22"/>
      <c r="F24" s="28" t="str">
        <f aca="false">IF(OR(A24="",D24=""),"",D24+IF(E24="",90,E24))</f>
        <v/>
      </c>
      <c r="G24" s="21" t="str">
        <f aca="false">IF(A24="","",IF(D24="","Not written yet",IF(F24&lt;=Settings!$C$6,"Review due","OK")))</f>
        <v/>
      </c>
      <c r="H24" s="22"/>
    </row>
    <row r="25" customFormat="false" ht="15" hidden="false" customHeight="false" outlineLevel="0" collapsed="false">
      <c r="A25" s="22"/>
      <c r="B25" s="22"/>
      <c r="C25" s="22"/>
      <c r="D25" s="26"/>
      <c r="E25" s="22"/>
      <c r="F25" s="28" t="str">
        <f aca="false">IF(OR(A25="",D25=""),"",D25+IF(E25="",90,E25))</f>
        <v/>
      </c>
      <c r="G25" s="21" t="str">
        <f aca="false">IF(A25="","",IF(D25="","Not written yet",IF(F25&lt;=Settings!$C$6,"Review due","OK")))</f>
        <v/>
      </c>
      <c r="H25" s="22"/>
    </row>
    <row r="26" customFormat="false" ht="15" hidden="false" customHeight="false" outlineLevel="0" collapsed="false">
      <c r="A26" s="22"/>
      <c r="B26" s="22"/>
      <c r="C26" s="22"/>
      <c r="D26" s="26"/>
      <c r="E26" s="22"/>
      <c r="F26" s="28" t="str">
        <f aca="false">IF(OR(A26="",D26=""),"",D26+IF(E26="",90,E26))</f>
        <v/>
      </c>
      <c r="G26" s="21" t="str">
        <f aca="false">IF(A26="","",IF(D26="","Not written yet",IF(F26&lt;=Settings!$C$6,"Review due","OK")))</f>
        <v/>
      </c>
      <c r="H26" s="22"/>
    </row>
    <row r="27" customFormat="false" ht="15" hidden="false" customHeight="false" outlineLevel="0" collapsed="false">
      <c r="A27" s="22"/>
      <c r="B27" s="22"/>
      <c r="C27" s="22"/>
      <c r="D27" s="26"/>
      <c r="E27" s="22"/>
      <c r="F27" s="28" t="str">
        <f aca="false">IF(OR(A27="",D27=""),"",D27+IF(E27="",90,E27))</f>
        <v/>
      </c>
      <c r="G27" s="21" t="str">
        <f aca="false">IF(A27="","",IF(D27="","Not written yet",IF(F27&lt;=Settings!$C$6,"Review due","OK")))</f>
        <v/>
      </c>
      <c r="H27" s="22"/>
    </row>
    <row r="28" customFormat="false" ht="15" hidden="false" customHeight="false" outlineLevel="0" collapsed="false">
      <c r="A28" s="22"/>
      <c r="B28" s="22"/>
      <c r="C28" s="22"/>
      <c r="D28" s="26"/>
      <c r="E28" s="22"/>
      <c r="F28" s="28" t="str">
        <f aca="false">IF(OR(A28="",D28=""),"",D28+IF(E28="",90,E28))</f>
        <v/>
      </c>
      <c r="G28" s="21" t="str">
        <f aca="false">IF(A28="","",IF(D28="","Not written yet",IF(F28&lt;=Settings!$C$6,"Review due","OK")))</f>
        <v/>
      </c>
      <c r="H28" s="22"/>
    </row>
    <row r="29" customFormat="false" ht="15" hidden="false" customHeight="false" outlineLevel="0" collapsed="false">
      <c r="A29" s="22"/>
      <c r="B29" s="22"/>
      <c r="C29" s="22"/>
      <c r="D29" s="26"/>
      <c r="E29" s="22"/>
      <c r="F29" s="28" t="str">
        <f aca="false">IF(OR(A29="",D29=""),"",D29+IF(E29="",90,E29))</f>
        <v/>
      </c>
      <c r="G29" s="21" t="str">
        <f aca="false">IF(A29="","",IF(D29="","Not written yet",IF(F29&lt;=Settings!$C$6,"Review due","OK")))</f>
        <v/>
      </c>
      <c r="H29" s="22"/>
    </row>
    <row r="30" customFormat="false" ht="15" hidden="false" customHeight="false" outlineLevel="0" collapsed="false">
      <c r="A30" s="22"/>
      <c r="B30" s="22"/>
      <c r="C30" s="22"/>
      <c r="D30" s="26"/>
      <c r="E30" s="22"/>
      <c r="F30" s="28" t="str">
        <f aca="false">IF(OR(A30="",D30=""),"",D30+IF(E30="",90,E30))</f>
        <v/>
      </c>
      <c r="G30" s="21" t="str">
        <f aca="false">IF(A30="","",IF(D30="","Not written yet",IF(F30&lt;=Settings!$C$6,"Review due","OK")))</f>
        <v/>
      </c>
      <c r="H30" s="22"/>
    </row>
    <row r="31" customFormat="false" ht="15" hidden="false" customHeight="false" outlineLevel="0" collapsed="false">
      <c r="A31" s="22"/>
      <c r="B31" s="22"/>
      <c r="C31" s="22"/>
      <c r="D31" s="26"/>
      <c r="E31" s="22"/>
      <c r="F31" s="28" t="str">
        <f aca="false">IF(OR(A31="",D31=""),"",D31+IF(E31="",90,E31))</f>
        <v/>
      </c>
      <c r="G31" s="21" t="str">
        <f aca="false">IF(A31="","",IF(D31="","Not written yet",IF(F31&lt;=Settings!$C$6,"Review due","OK")))</f>
        <v/>
      </c>
      <c r="H31" s="22"/>
    </row>
    <row r="32" customFormat="false" ht="15" hidden="false" customHeight="false" outlineLevel="0" collapsed="false">
      <c r="A32" s="22"/>
      <c r="B32" s="22"/>
      <c r="C32" s="22"/>
      <c r="D32" s="26"/>
      <c r="E32" s="22"/>
      <c r="F32" s="28" t="str">
        <f aca="false">IF(OR(A32="",D32=""),"",D32+IF(E32="",90,E32))</f>
        <v/>
      </c>
      <c r="G32" s="21" t="str">
        <f aca="false">IF(A32="","",IF(D32="","Not written yet",IF(F32&lt;=Settings!$C$6,"Review due","OK")))</f>
        <v/>
      </c>
      <c r="H32" s="22"/>
    </row>
    <row r="33" customFormat="false" ht="15" hidden="false" customHeight="false" outlineLevel="0" collapsed="false">
      <c r="A33" s="22"/>
      <c r="B33" s="22"/>
      <c r="C33" s="22"/>
      <c r="D33" s="26"/>
      <c r="E33" s="22"/>
      <c r="F33" s="28" t="str">
        <f aca="false">IF(OR(A33="",D33=""),"",D33+IF(E33="",90,E33))</f>
        <v/>
      </c>
      <c r="G33" s="21" t="str">
        <f aca="false">IF(A33="","",IF(D33="","Not written yet",IF(F33&lt;=Settings!$C$6,"Review due","OK")))</f>
        <v/>
      </c>
      <c r="H33" s="22"/>
    </row>
    <row r="34" customFormat="false" ht="15" hidden="false" customHeight="false" outlineLevel="0" collapsed="false">
      <c r="A34" s="22"/>
      <c r="B34" s="22"/>
      <c r="C34" s="22"/>
      <c r="D34" s="26"/>
      <c r="E34" s="22"/>
      <c r="F34" s="28" t="str">
        <f aca="false">IF(OR(A34="",D34=""),"",D34+IF(E34="",90,E34))</f>
        <v/>
      </c>
      <c r="G34" s="21" t="str">
        <f aca="false">IF(A34="","",IF(D34="","Not written yet",IF(F34&lt;=Settings!$C$6,"Review due","OK")))</f>
        <v/>
      </c>
      <c r="H34" s="22"/>
    </row>
    <row r="35" customFormat="false" ht="15" hidden="false" customHeight="false" outlineLevel="0" collapsed="false">
      <c r="A35" s="22"/>
      <c r="B35" s="22"/>
      <c r="C35" s="22"/>
      <c r="D35" s="26"/>
      <c r="E35" s="22"/>
      <c r="F35" s="28" t="str">
        <f aca="false">IF(OR(A35="",D35=""),"",D35+IF(E35="",90,E35))</f>
        <v/>
      </c>
      <c r="G35" s="21" t="str">
        <f aca="false">IF(A35="","",IF(D35="","Not written yet",IF(F35&lt;=Settings!$C$6,"Review due","OK")))</f>
        <v/>
      </c>
      <c r="H35" s="22"/>
    </row>
    <row r="36" customFormat="false" ht="15" hidden="false" customHeight="false" outlineLevel="0" collapsed="false">
      <c r="A36" s="22"/>
      <c r="B36" s="22"/>
      <c r="C36" s="22"/>
      <c r="D36" s="26"/>
      <c r="E36" s="22"/>
      <c r="F36" s="28" t="str">
        <f aca="false">IF(OR(A36="",D36=""),"",D36+IF(E36="",90,E36))</f>
        <v/>
      </c>
      <c r="G36" s="21" t="str">
        <f aca="false">IF(A36="","",IF(D36="","Not written yet",IF(F36&lt;=Settings!$C$6,"Review due","OK")))</f>
        <v/>
      </c>
      <c r="H36" s="22"/>
    </row>
    <row r="37" customFormat="false" ht="15" hidden="false" customHeight="false" outlineLevel="0" collapsed="false">
      <c r="A37" s="22"/>
      <c r="B37" s="22"/>
      <c r="C37" s="22"/>
      <c r="D37" s="26"/>
      <c r="E37" s="22"/>
      <c r="F37" s="28" t="str">
        <f aca="false">IF(OR(A37="",D37=""),"",D37+IF(E37="",90,E37))</f>
        <v/>
      </c>
      <c r="G37" s="21" t="str">
        <f aca="false">IF(A37="","",IF(D37="","Not written yet",IF(F37&lt;=Settings!$C$6,"Review due","OK")))</f>
        <v/>
      </c>
      <c r="H37" s="22"/>
    </row>
    <row r="38" customFormat="false" ht="15" hidden="false" customHeight="false" outlineLevel="0" collapsed="false">
      <c r="A38" s="22"/>
      <c r="B38" s="22"/>
      <c r="C38" s="22"/>
      <c r="D38" s="26"/>
      <c r="E38" s="22"/>
      <c r="F38" s="28" t="str">
        <f aca="false">IF(OR(A38="",D38=""),"",D38+IF(E38="",90,E38))</f>
        <v/>
      </c>
      <c r="G38" s="21" t="str">
        <f aca="false">IF(A38="","",IF(D38="","Not written yet",IF(F38&lt;=Settings!$C$6,"Review due","OK")))</f>
        <v/>
      </c>
      <c r="H38" s="22"/>
    </row>
    <row r="39" customFormat="false" ht="15" hidden="false" customHeight="false" outlineLevel="0" collapsed="false">
      <c r="A39" s="22"/>
      <c r="B39" s="22"/>
      <c r="C39" s="22"/>
      <c r="D39" s="26"/>
      <c r="E39" s="22"/>
      <c r="F39" s="28" t="str">
        <f aca="false">IF(OR(A39="",D39=""),"",D39+IF(E39="",90,E39))</f>
        <v/>
      </c>
      <c r="G39" s="21" t="str">
        <f aca="false">IF(A39="","",IF(D39="","Not written yet",IF(F39&lt;=Settings!$C$6,"Review due","OK")))</f>
        <v/>
      </c>
      <c r="H39" s="22"/>
    </row>
    <row r="40" customFormat="false" ht="15" hidden="false" customHeight="false" outlineLevel="0" collapsed="false">
      <c r="A40" s="22"/>
      <c r="B40" s="22"/>
      <c r="C40" s="22"/>
      <c r="D40" s="26"/>
      <c r="E40" s="22"/>
      <c r="F40" s="28" t="str">
        <f aca="false">IF(OR(A40="",D40=""),"",D40+IF(E40="",90,E40))</f>
        <v/>
      </c>
      <c r="G40" s="21" t="str">
        <f aca="false">IF(A40="","",IF(D40="","Not written yet",IF(F40&lt;=Settings!$C$6,"Review due","OK")))</f>
        <v/>
      </c>
      <c r="H40" s="22"/>
    </row>
    <row r="41" customFormat="false" ht="15" hidden="false" customHeight="false" outlineLevel="0" collapsed="false">
      <c r="A41" s="22"/>
      <c r="B41" s="22"/>
      <c r="C41" s="22"/>
      <c r="D41" s="26"/>
      <c r="E41" s="22"/>
      <c r="F41" s="28" t="str">
        <f aca="false">IF(OR(A41="",D41=""),"",D41+IF(E41="",90,E41))</f>
        <v/>
      </c>
      <c r="G41" s="21" t="str">
        <f aca="false">IF(A41="","",IF(D41="","Not written yet",IF(F41&lt;=Settings!$C$6,"Review due","OK")))</f>
        <v/>
      </c>
      <c r="H41" s="22"/>
    </row>
    <row r="42" customFormat="false" ht="15" hidden="false" customHeight="false" outlineLevel="0" collapsed="false">
      <c r="A42" s="22"/>
      <c r="B42" s="22"/>
      <c r="C42" s="22"/>
      <c r="D42" s="26"/>
      <c r="E42" s="22"/>
      <c r="F42" s="28" t="str">
        <f aca="false">IF(OR(A42="",D42=""),"",D42+IF(E42="",90,E42))</f>
        <v/>
      </c>
      <c r="G42" s="21" t="str">
        <f aca="false">IF(A42="","",IF(D42="","Not written yet",IF(F42&lt;=Settings!$C$6,"Review due","OK")))</f>
        <v/>
      </c>
      <c r="H42" s="22"/>
    </row>
    <row r="43" customFormat="false" ht="15" hidden="false" customHeight="false" outlineLevel="0" collapsed="false">
      <c r="A43" s="22"/>
      <c r="B43" s="22"/>
      <c r="C43" s="22"/>
      <c r="D43" s="26"/>
      <c r="E43" s="22"/>
      <c r="F43" s="28" t="str">
        <f aca="false">IF(OR(A43="",D43=""),"",D43+IF(E43="",90,E43))</f>
        <v/>
      </c>
      <c r="G43" s="21" t="str">
        <f aca="false">IF(A43="","",IF(D43="","Not written yet",IF(F43&lt;=Settings!$C$6,"Review due","OK")))</f>
        <v/>
      </c>
      <c r="H43" s="22"/>
    </row>
    <row r="44" customFormat="false" ht="15" hidden="false" customHeight="false" outlineLevel="0" collapsed="false">
      <c r="A44" s="22"/>
      <c r="B44" s="22"/>
      <c r="C44" s="22"/>
      <c r="D44" s="26"/>
      <c r="E44" s="22"/>
      <c r="F44" s="28" t="str">
        <f aca="false">IF(OR(A44="",D44=""),"",D44+IF(E44="",90,E44))</f>
        <v/>
      </c>
      <c r="G44" s="21" t="str">
        <f aca="false">IF(A44="","",IF(D44="","Not written yet",IF(F44&lt;=Settings!$C$6,"Review due","OK")))</f>
        <v/>
      </c>
      <c r="H44" s="22"/>
    </row>
    <row r="45" customFormat="false" ht="15" hidden="false" customHeight="false" outlineLevel="0" collapsed="false">
      <c r="A45" s="22"/>
      <c r="B45" s="22"/>
      <c r="C45" s="22"/>
      <c r="D45" s="26"/>
      <c r="E45" s="22"/>
      <c r="F45" s="28" t="str">
        <f aca="false">IF(OR(A45="",D45=""),"",D45+IF(E45="",90,E45))</f>
        <v/>
      </c>
      <c r="G45" s="21" t="str">
        <f aca="false">IF(A45="","",IF(D45="","Not written yet",IF(F45&lt;=Settings!$C$6,"Review due","OK")))</f>
        <v/>
      </c>
      <c r="H45" s="22"/>
    </row>
    <row r="46" customFormat="false" ht="15" hidden="false" customHeight="false" outlineLevel="0" collapsed="false">
      <c r="A46" s="22"/>
      <c r="B46" s="22"/>
      <c r="C46" s="22"/>
      <c r="D46" s="26"/>
      <c r="E46" s="22"/>
      <c r="F46" s="28" t="str">
        <f aca="false">IF(OR(A46="",D46=""),"",D46+IF(E46="",90,E46))</f>
        <v/>
      </c>
      <c r="G46" s="21" t="str">
        <f aca="false">IF(A46="","",IF(D46="","Not written yet",IF(F46&lt;=Settings!$C$6,"Review due","OK")))</f>
        <v/>
      </c>
      <c r="H46" s="22"/>
    </row>
    <row r="47" customFormat="false" ht="15" hidden="false" customHeight="false" outlineLevel="0" collapsed="false">
      <c r="A47" s="22"/>
      <c r="B47" s="22"/>
      <c r="C47" s="22"/>
      <c r="D47" s="26"/>
      <c r="E47" s="22"/>
      <c r="F47" s="28" t="str">
        <f aca="false">IF(OR(A47="",D47=""),"",D47+IF(E47="",90,E47))</f>
        <v/>
      </c>
      <c r="G47" s="21" t="str">
        <f aca="false">IF(A47="","",IF(D47="","Not written yet",IF(F47&lt;=Settings!$C$6,"Review due","OK")))</f>
        <v/>
      </c>
      <c r="H47" s="22"/>
    </row>
    <row r="48" customFormat="false" ht="15" hidden="false" customHeight="false" outlineLevel="0" collapsed="false">
      <c r="A48" s="22"/>
      <c r="B48" s="22"/>
      <c r="C48" s="22"/>
      <c r="D48" s="26"/>
      <c r="E48" s="22"/>
      <c r="F48" s="28" t="str">
        <f aca="false">IF(OR(A48="",D48=""),"",D48+IF(E48="",90,E48))</f>
        <v/>
      </c>
      <c r="G48" s="21" t="str">
        <f aca="false">IF(A48="","",IF(D48="","Not written yet",IF(F48&lt;=Settings!$C$6,"Review due","OK")))</f>
        <v/>
      </c>
      <c r="H48" s="22"/>
    </row>
    <row r="49" customFormat="false" ht="15" hidden="false" customHeight="false" outlineLevel="0" collapsed="false">
      <c r="A49" s="22"/>
      <c r="B49" s="22"/>
      <c r="C49" s="22"/>
      <c r="D49" s="26"/>
      <c r="E49" s="22"/>
      <c r="F49" s="28" t="str">
        <f aca="false">IF(OR(A49="",D49=""),"",D49+IF(E49="",90,E49))</f>
        <v/>
      </c>
      <c r="G49" s="21" t="str">
        <f aca="false">IF(A49="","",IF(D49="","Not written yet",IF(F49&lt;=Settings!$C$6,"Review due","OK")))</f>
        <v/>
      </c>
      <c r="H49" s="22"/>
    </row>
    <row r="50" customFormat="false" ht="15" hidden="false" customHeight="false" outlineLevel="0" collapsed="false">
      <c r="A50" s="22"/>
      <c r="B50" s="22"/>
      <c r="C50" s="22"/>
      <c r="D50" s="26"/>
      <c r="E50" s="22"/>
      <c r="F50" s="28" t="str">
        <f aca="false">IF(OR(A50="",D50=""),"",D50+IF(E50="",90,E50))</f>
        <v/>
      </c>
      <c r="G50" s="21" t="str">
        <f aca="false">IF(A50="","",IF(D50="","Not written yet",IF(F50&lt;=Settings!$C$6,"Review due","OK")))</f>
        <v/>
      </c>
      <c r="H50" s="22"/>
    </row>
    <row r="51" customFormat="false" ht="15" hidden="false" customHeight="false" outlineLevel="0" collapsed="false">
      <c r="A51" s="22"/>
      <c r="B51" s="22"/>
      <c r="C51" s="22"/>
      <c r="D51" s="26"/>
      <c r="E51" s="22"/>
      <c r="F51" s="28" t="str">
        <f aca="false">IF(OR(A51="",D51=""),"",D51+IF(E51="",90,E51))</f>
        <v/>
      </c>
      <c r="G51" s="21" t="str">
        <f aca="false">IF(A51="","",IF(D51="","Not written yet",IF(F51&lt;=Settings!$C$6,"Review due","OK")))</f>
        <v/>
      </c>
      <c r="H51" s="22"/>
    </row>
    <row r="52" customFormat="false" ht="15" hidden="false" customHeight="false" outlineLevel="0" collapsed="false">
      <c r="A52" s="22"/>
      <c r="B52" s="22"/>
      <c r="C52" s="22"/>
      <c r="D52" s="26"/>
      <c r="E52" s="22"/>
      <c r="F52" s="28" t="str">
        <f aca="false">IF(OR(A52="",D52=""),"",D52+IF(E52="",90,E52))</f>
        <v/>
      </c>
      <c r="G52" s="21" t="str">
        <f aca="false">IF(A52="","",IF(D52="","Not written yet",IF(F52&lt;=Settings!$C$6,"Review due","OK")))</f>
        <v/>
      </c>
      <c r="H52" s="22"/>
    </row>
    <row r="53" customFormat="false" ht="15" hidden="false" customHeight="false" outlineLevel="0" collapsed="false">
      <c r="A53" s="22"/>
      <c r="B53" s="22"/>
      <c r="C53" s="22"/>
      <c r="D53" s="26"/>
      <c r="E53" s="22"/>
      <c r="F53" s="28" t="str">
        <f aca="false">IF(OR(A53="",D53=""),"",D53+IF(E53="",90,E53))</f>
        <v/>
      </c>
      <c r="G53" s="21" t="str">
        <f aca="false">IF(A53="","",IF(D53="","Not written yet",IF(F53&lt;=Settings!$C$6,"Review due","OK")))</f>
        <v/>
      </c>
      <c r="H53" s="22"/>
    </row>
    <row r="54" customFormat="false" ht="15" hidden="false" customHeight="false" outlineLevel="0" collapsed="false">
      <c r="A54" s="22"/>
      <c r="B54" s="22"/>
      <c r="C54" s="22"/>
      <c r="D54" s="26"/>
      <c r="E54" s="22"/>
      <c r="F54" s="28" t="str">
        <f aca="false">IF(OR(A54="",D54=""),"",D54+IF(E54="",90,E54))</f>
        <v/>
      </c>
      <c r="G54" s="21" t="str">
        <f aca="false">IF(A54="","",IF(D54="","Not written yet",IF(F54&lt;=Settings!$C$6,"Review due","OK")))</f>
        <v/>
      </c>
      <c r="H54" s="22"/>
    </row>
  </sheetData>
  <conditionalFormatting sqref="G5:G54">
    <cfRule type="expression" priority="2" aboveAverage="0" equalAverage="0" bottom="0" percent="0" rank="0" text="" dxfId="13">
      <formula>G5="Review due"</formula>
    </cfRule>
    <cfRule type="expression" priority="3" aboveAverage="0" equalAverage="0" bottom="0" percent="0" rank="0" text="" dxfId="16">
      <formula>G5="Not written yet"</formula>
    </cfRule>
  </conditionalFormatting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4A45"/>
    <pageSetUpPr fitToPage="true"/>
  </sheetPr>
  <dimension ref="A1:J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4"/>
    <col collapsed="false" customWidth="true" hidden="false" outlineLevel="0" max="7" min="6" style="0" width="12"/>
    <col collapsed="false" customWidth="true" hidden="false" outlineLevel="0" max="8" min="8" style="0" width="10"/>
    <col collapsed="false" customWidth="true" hidden="false" outlineLevel="0" max="9" min="9" style="0" width="3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7" t="s">
        <v>288</v>
      </c>
    </row>
    <row r="2" customFormat="false" ht="15" hidden="false" customHeight="false" outlineLevel="0" collapsed="false">
      <c r="A2" s="2" t="s">
        <v>289</v>
      </c>
    </row>
    <row r="4" customFormat="false" ht="15" hidden="false" customHeight="false" outlineLevel="0" collapsed="false">
      <c r="A4" s="36" t="s">
        <v>290</v>
      </c>
      <c r="B4" s="36" t="s">
        <v>291</v>
      </c>
      <c r="E4" s="36" t="s">
        <v>292</v>
      </c>
      <c r="F4" s="36" t="s">
        <v>293</v>
      </c>
    </row>
    <row r="5" customFormat="false" ht="15" hidden="false" customHeight="false" outlineLevel="0" collapsed="false">
      <c r="A5" s="37" t="s">
        <v>294</v>
      </c>
      <c r="B5" s="38" t="s">
        <v>295</v>
      </c>
      <c r="E5" s="37" t="s">
        <v>296</v>
      </c>
      <c r="F5" s="27" t="n">
        <f aca="false">COUNTIF('Invoices &amp; Follow-ups'!$K$5:$K$204,"Overdue")</f>
        <v>3</v>
      </c>
    </row>
    <row r="6" customFormat="false" ht="15" hidden="false" customHeight="false" outlineLevel="0" collapsed="false">
      <c r="A6" s="37" t="s">
        <v>297</v>
      </c>
      <c r="B6" s="38" t="s">
        <v>298</v>
      </c>
      <c r="E6" s="37" t="s">
        <v>299</v>
      </c>
      <c r="F6" s="25" t="n">
        <f aca="false">SUMIFS('Invoices &amp; Follow-ups'!$J$5:$J$204,'Invoices &amp; Follow-ups'!$K$5:$K$204,"Overdue")</f>
        <v>1830</v>
      </c>
    </row>
    <row r="7" customFormat="false" ht="15" hidden="false" customHeight="false" outlineLevel="0" collapsed="false">
      <c r="A7" s="37" t="s">
        <v>300</v>
      </c>
      <c r="B7" s="38" t="s">
        <v>301</v>
      </c>
      <c r="E7" s="37" t="s">
        <v>302</v>
      </c>
      <c r="F7" s="27" t="n">
        <f aca="false">SUM('Invoices &amp; Follow-ups'!$S$5:$S$204)</f>
        <v>4</v>
      </c>
    </row>
    <row r="8" customFormat="false" ht="15" hidden="false" customHeight="false" outlineLevel="0" collapsed="false">
      <c r="A8" s="37" t="s">
        <v>303</v>
      </c>
      <c r="B8" s="38" t="s">
        <v>304</v>
      </c>
      <c r="E8" s="37" t="s">
        <v>305</v>
      </c>
      <c r="F8" s="27" t="n">
        <f aca="false">COUNTIF('Clients &amp; Pipeline'!$Q$5:$Q$154,"Overdue")</f>
        <v>1</v>
      </c>
    </row>
    <row r="9" customFormat="false" ht="15" hidden="false" customHeight="false" outlineLevel="0" collapsed="false">
      <c r="A9" s="37" t="s">
        <v>306</v>
      </c>
      <c r="B9" s="38" t="s">
        <v>307</v>
      </c>
      <c r="E9" s="37" t="s">
        <v>308</v>
      </c>
      <c r="F9" s="27" t="n">
        <f aca="false">COUNTIF('Clients &amp; Pipeline'!$Q$5:$Q$154,"Due this week")</f>
        <v>4</v>
      </c>
    </row>
    <row r="12" customFormat="false" ht="15" hidden="false" customHeight="false" outlineLevel="0" collapsed="false">
      <c r="A12" s="12" t="s">
        <v>309</v>
      </c>
    </row>
    <row r="13" customFormat="false" ht="33.75" hidden="false" customHeight="true" outlineLevel="0" collapsed="false">
      <c r="A13" s="13" t="s">
        <v>310</v>
      </c>
      <c r="B13" s="13" t="s">
        <v>311</v>
      </c>
      <c r="C13" s="13" t="s">
        <v>312</v>
      </c>
      <c r="D13" s="13" t="s">
        <v>313</v>
      </c>
      <c r="E13" s="13" t="s">
        <v>314</v>
      </c>
      <c r="F13" s="13" t="s">
        <v>315</v>
      </c>
      <c r="G13" s="13" t="s">
        <v>316</v>
      </c>
      <c r="H13" s="13" t="s">
        <v>317</v>
      </c>
      <c r="I13" s="13" t="s">
        <v>318</v>
      </c>
      <c r="J13" s="13" t="s">
        <v>76</v>
      </c>
    </row>
    <row r="14" customFormat="false" ht="15" hidden="false" customHeight="false" outlineLevel="0" collapsed="false">
      <c r="A14" s="26" t="n">
        <f aca="false">Settings!$C$6-14</f>
        <v>46275</v>
      </c>
      <c r="B14" s="22" t="n">
        <v>6.5</v>
      </c>
      <c r="C14" s="22" t="n">
        <v>2</v>
      </c>
      <c r="D14" s="23" t="n">
        <v>1650</v>
      </c>
      <c r="E14" s="22" t="n">
        <v>20</v>
      </c>
      <c r="F14" s="22" t="n">
        <v>2</v>
      </c>
      <c r="G14" s="22" t="n">
        <v>1</v>
      </c>
      <c r="H14" s="24" t="n">
        <f aca="false">IF(OR(F14="",F14=0),"",G14/F14)</f>
        <v>0.5</v>
      </c>
      <c r="I14" s="22" t="s">
        <v>319</v>
      </c>
      <c r="J14" s="22" t="s">
        <v>86</v>
      </c>
    </row>
    <row r="15" customFormat="false" ht="15" hidden="false" customHeight="false" outlineLevel="0" collapsed="false">
      <c r="A15" s="26" t="n">
        <f aca="false">Settings!$C$6-7</f>
        <v>46282</v>
      </c>
      <c r="B15" s="22" t="n">
        <v>5.5</v>
      </c>
      <c r="C15" s="22" t="n">
        <v>1</v>
      </c>
      <c r="D15" s="23" t="n">
        <v>1200</v>
      </c>
      <c r="E15" s="22" t="n">
        <v>8</v>
      </c>
      <c r="F15" s="22" t="n">
        <v>1</v>
      </c>
      <c r="G15" s="22" t="n">
        <v>1</v>
      </c>
      <c r="H15" s="24" t="n">
        <f aca="false">IF(OR(F15="",F15=0),"",G15/F15)</f>
        <v>1</v>
      </c>
      <c r="I15" s="22" t="s">
        <v>320</v>
      </c>
      <c r="J15" s="22" t="s">
        <v>86</v>
      </c>
    </row>
    <row r="16" customFormat="false" ht="15" hidden="false" customHeight="false" outlineLevel="0" collapsed="false">
      <c r="A16" s="26"/>
      <c r="B16" s="22"/>
      <c r="C16" s="22"/>
      <c r="D16" s="23"/>
      <c r="E16" s="22"/>
      <c r="F16" s="22"/>
      <c r="G16" s="22"/>
      <c r="H16" s="24" t="str">
        <f aca="false">IF(OR(F16="",F16=0),"",G16/F16)</f>
        <v/>
      </c>
      <c r="I16" s="22"/>
      <c r="J16" s="22"/>
    </row>
    <row r="17" customFormat="false" ht="15" hidden="false" customHeight="false" outlineLevel="0" collapsed="false">
      <c r="A17" s="26"/>
      <c r="B17" s="22"/>
      <c r="C17" s="22"/>
      <c r="D17" s="23"/>
      <c r="E17" s="22"/>
      <c r="F17" s="22"/>
      <c r="G17" s="22"/>
      <c r="H17" s="24" t="str">
        <f aca="false">IF(OR(F17="",F17=0),"",G17/F17)</f>
        <v/>
      </c>
      <c r="I17" s="22"/>
      <c r="J17" s="22"/>
    </row>
    <row r="18" customFormat="false" ht="15" hidden="false" customHeight="false" outlineLevel="0" collapsed="false">
      <c r="A18" s="26"/>
      <c r="B18" s="22"/>
      <c r="C18" s="22"/>
      <c r="D18" s="23"/>
      <c r="E18" s="22"/>
      <c r="F18" s="22"/>
      <c r="G18" s="22"/>
      <c r="H18" s="24" t="str">
        <f aca="false">IF(OR(F18="",F18=0),"",G18/F18)</f>
        <v/>
      </c>
      <c r="I18" s="22"/>
      <c r="J18" s="22"/>
    </row>
    <row r="19" customFormat="false" ht="15" hidden="false" customHeight="false" outlineLevel="0" collapsed="false">
      <c r="A19" s="26"/>
      <c r="B19" s="22"/>
      <c r="C19" s="22"/>
      <c r="D19" s="23"/>
      <c r="E19" s="22"/>
      <c r="F19" s="22"/>
      <c r="G19" s="22"/>
      <c r="H19" s="24" t="str">
        <f aca="false">IF(OR(F19="",F19=0),"",G19/F19)</f>
        <v/>
      </c>
      <c r="I19" s="22"/>
      <c r="J19" s="22"/>
    </row>
    <row r="20" customFormat="false" ht="15" hidden="false" customHeight="false" outlineLevel="0" collapsed="false">
      <c r="A20" s="26"/>
      <c r="B20" s="22"/>
      <c r="C20" s="22"/>
      <c r="D20" s="23"/>
      <c r="E20" s="22"/>
      <c r="F20" s="22"/>
      <c r="G20" s="22"/>
      <c r="H20" s="24" t="str">
        <f aca="false">IF(OR(F20="",F20=0),"",G20/F20)</f>
        <v/>
      </c>
      <c r="I20" s="22"/>
      <c r="J20" s="22"/>
    </row>
    <row r="21" customFormat="false" ht="15" hidden="false" customHeight="false" outlineLevel="0" collapsed="false">
      <c r="A21" s="26"/>
      <c r="B21" s="22"/>
      <c r="C21" s="22"/>
      <c r="D21" s="23"/>
      <c r="E21" s="22"/>
      <c r="F21" s="22"/>
      <c r="G21" s="22"/>
      <c r="H21" s="24" t="str">
        <f aca="false">IF(OR(F21="",F21=0),"",G21/F21)</f>
        <v/>
      </c>
      <c r="I21" s="22"/>
      <c r="J21" s="22"/>
    </row>
    <row r="22" customFormat="false" ht="15" hidden="false" customHeight="false" outlineLevel="0" collapsed="false">
      <c r="A22" s="26"/>
      <c r="B22" s="22"/>
      <c r="C22" s="22"/>
      <c r="D22" s="23"/>
      <c r="E22" s="22"/>
      <c r="F22" s="22"/>
      <c r="G22" s="22"/>
      <c r="H22" s="24" t="str">
        <f aca="false">IF(OR(F22="",F22=0),"",G22/F22)</f>
        <v/>
      </c>
      <c r="I22" s="22"/>
      <c r="J22" s="22"/>
    </row>
    <row r="23" customFormat="false" ht="15" hidden="false" customHeight="false" outlineLevel="0" collapsed="false">
      <c r="A23" s="26"/>
      <c r="B23" s="22"/>
      <c r="C23" s="22"/>
      <c r="D23" s="23"/>
      <c r="E23" s="22"/>
      <c r="F23" s="22"/>
      <c r="G23" s="22"/>
      <c r="H23" s="24" t="str">
        <f aca="false">IF(OR(F23="",F23=0),"",G23/F23)</f>
        <v/>
      </c>
      <c r="I23" s="22"/>
      <c r="J23" s="22"/>
    </row>
    <row r="24" customFormat="false" ht="15" hidden="false" customHeight="false" outlineLevel="0" collapsed="false">
      <c r="A24" s="26"/>
      <c r="B24" s="22"/>
      <c r="C24" s="22"/>
      <c r="D24" s="23"/>
      <c r="E24" s="22"/>
      <c r="F24" s="22"/>
      <c r="G24" s="22"/>
      <c r="H24" s="24" t="str">
        <f aca="false">IF(OR(F24="",F24=0),"",G24/F24)</f>
        <v/>
      </c>
      <c r="I24" s="22"/>
      <c r="J24" s="22"/>
    </row>
    <row r="25" customFormat="false" ht="15" hidden="false" customHeight="false" outlineLevel="0" collapsed="false">
      <c r="A25" s="26"/>
      <c r="B25" s="22"/>
      <c r="C25" s="22"/>
      <c r="D25" s="23"/>
      <c r="E25" s="22"/>
      <c r="F25" s="22"/>
      <c r="G25" s="22"/>
      <c r="H25" s="24" t="str">
        <f aca="false">IF(OR(F25="",F25=0),"",G25/F25)</f>
        <v/>
      </c>
      <c r="I25" s="22"/>
      <c r="J25" s="22"/>
    </row>
    <row r="26" customFormat="false" ht="15" hidden="false" customHeight="false" outlineLevel="0" collapsed="false">
      <c r="A26" s="26"/>
      <c r="B26" s="22"/>
      <c r="C26" s="22"/>
      <c r="D26" s="23"/>
      <c r="E26" s="22"/>
      <c r="F26" s="22"/>
      <c r="G26" s="22"/>
      <c r="H26" s="24" t="str">
        <f aca="false">IF(OR(F26="",F26=0),"",G26/F26)</f>
        <v/>
      </c>
      <c r="I26" s="22"/>
      <c r="J26" s="22"/>
    </row>
    <row r="27" customFormat="false" ht="15" hidden="false" customHeight="false" outlineLevel="0" collapsed="false">
      <c r="A27" s="26"/>
      <c r="B27" s="22"/>
      <c r="C27" s="22"/>
      <c r="D27" s="23"/>
      <c r="E27" s="22"/>
      <c r="F27" s="22"/>
      <c r="G27" s="22"/>
      <c r="H27" s="24" t="str">
        <f aca="false">IF(OR(F27="",F27=0),"",G27/F27)</f>
        <v/>
      </c>
      <c r="I27" s="22"/>
      <c r="J27" s="22"/>
    </row>
    <row r="28" customFormat="false" ht="15" hidden="false" customHeight="false" outlineLevel="0" collapsed="false">
      <c r="A28" s="26"/>
      <c r="B28" s="22"/>
      <c r="C28" s="22"/>
      <c r="D28" s="23"/>
      <c r="E28" s="22"/>
      <c r="F28" s="22"/>
      <c r="G28" s="22"/>
      <c r="H28" s="24" t="str">
        <f aca="false">IF(OR(F28="",F28=0),"",G28/F28)</f>
        <v/>
      </c>
      <c r="I28" s="22"/>
      <c r="J28" s="22"/>
    </row>
    <row r="29" customFormat="false" ht="15" hidden="false" customHeight="false" outlineLevel="0" collapsed="false">
      <c r="A29" s="26"/>
      <c r="B29" s="22"/>
      <c r="C29" s="22"/>
      <c r="D29" s="23"/>
      <c r="E29" s="22"/>
      <c r="F29" s="22"/>
      <c r="G29" s="22"/>
      <c r="H29" s="24" t="str">
        <f aca="false">IF(OR(F29="",F29=0),"",G29/F29)</f>
        <v/>
      </c>
      <c r="I29" s="22"/>
      <c r="J29" s="22"/>
    </row>
    <row r="30" customFormat="false" ht="15" hidden="false" customHeight="false" outlineLevel="0" collapsed="false">
      <c r="A30" s="26"/>
      <c r="B30" s="22"/>
      <c r="C30" s="22"/>
      <c r="D30" s="23"/>
      <c r="E30" s="22"/>
      <c r="F30" s="22"/>
      <c r="G30" s="22"/>
      <c r="H30" s="24" t="str">
        <f aca="false">IF(OR(F30="",F30=0),"",G30/F30)</f>
        <v/>
      </c>
      <c r="I30" s="22"/>
      <c r="J30" s="22"/>
    </row>
    <row r="31" customFormat="false" ht="15" hidden="false" customHeight="false" outlineLevel="0" collapsed="false">
      <c r="A31" s="26"/>
      <c r="B31" s="22"/>
      <c r="C31" s="22"/>
      <c r="D31" s="23"/>
      <c r="E31" s="22"/>
      <c r="F31" s="22"/>
      <c r="G31" s="22"/>
      <c r="H31" s="24" t="str">
        <f aca="false">IF(OR(F31="",F31=0),"",G31/F31)</f>
        <v/>
      </c>
      <c r="I31" s="22"/>
      <c r="J31" s="22"/>
    </row>
    <row r="32" customFormat="false" ht="15" hidden="false" customHeight="false" outlineLevel="0" collapsed="false">
      <c r="A32" s="26"/>
      <c r="B32" s="22"/>
      <c r="C32" s="22"/>
      <c r="D32" s="23"/>
      <c r="E32" s="22"/>
      <c r="F32" s="22"/>
      <c r="G32" s="22"/>
      <c r="H32" s="24" t="str">
        <f aca="false">IF(OR(F32="",F32=0),"",G32/F32)</f>
        <v/>
      </c>
      <c r="I32" s="22"/>
      <c r="J32" s="22"/>
    </row>
    <row r="33" customFormat="false" ht="15" hidden="false" customHeight="false" outlineLevel="0" collapsed="false">
      <c r="A33" s="26"/>
      <c r="B33" s="22"/>
      <c r="C33" s="22"/>
      <c r="D33" s="23"/>
      <c r="E33" s="22"/>
      <c r="F33" s="22"/>
      <c r="G33" s="22"/>
      <c r="H33" s="24" t="str">
        <f aca="false">IF(OR(F33="",F33=0),"",G33/F33)</f>
        <v/>
      </c>
      <c r="I33" s="22"/>
      <c r="J33" s="22"/>
    </row>
    <row r="34" customFormat="false" ht="15" hidden="false" customHeight="false" outlineLevel="0" collapsed="false">
      <c r="A34" s="26"/>
      <c r="B34" s="22"/>
      <c r="C34" s="22"/>
      <c r="D34" s="23"/>
      <c r="E34" s="22"/>
      <c r="F34" s="22"/>
      <c r="G34" s="22"/>
      <c r="H34" s="24" t="str">
        <f aca="false">IF(OR(F34="",F34=0),"",G34/F34)</f>
        <v/>
      </c>
      <c r="I34" s="22"/>
      <c r="J34" s="22"/>
    </row>
    <row r="35" customFormat="false" ht="15" hidden="false" customHeight="false" outlineLevel="0" collapsed="false">
      <c r="A35" s="26"/>
      <c r="B35" s="22"/>
      <c r="C35" s="22"/>
      <c r="D35" s="23"/>
      <c r="E35" s="22"/>
      <c r="F35" s="22"/>
      <c r="G35" s="22"/>
      <c r="H35" s="24" t="str">
        <f aca="false">IF(OR(F35="",F35=0),"",G35/F35)</f>
        <v/>
      </c>
      <c r="I35" s="22"/>
      <c r="J35" s="22"/>
    </row>
    <row r="36" customFormat="false" ht="15" hidden="false" customHeight="false" outlineLevel="0" collapsed="false">
      <c r="A36" s="26"/>
      <c r="B36" s="22"/>
      <c r="C36" s="22"/>
      <c r="D36" s="23"/>
      <c r="E36" s="22"/>
      <c r="F36" s="22"/>
      <c r="G36" s="22"/>
      <c r="H36" s="24" t="str">
        <f aca="false">IF(OR(F36="",F36=0),"",G36/F36)</f>
        <v/>
      </c>
      <c r="I36" s="22"/>
      <c r="J36" s="22"/>
    </row>
    <row r="37" customFormat="false" ht="15" hidden="false" customHeight="false" outlineLevel="0" collapsed="false">
      <c r="A37" s="26"/>
      <c r="B37" s="22"/>
      <c r="C37" s="22"/>
      <c r="D37" s="23"/>
      <c r="E37" s="22"/>
      <c r="F37" s="22"/>
      <c r="G37" s="22"/>
      <c r="H37" s="24" t="str">
        <f aca="false">IF(OR(F37="",F37=0),"",G37/F37)</f>
        <v/>
      </c>
      <c r="I37" s="22"/>
      <c r="J37" s="22"/>
    </row>
    <row r="38" customFormat="false" ht="15" hidden="false" customHeight="false" outlineLevel="0" collapsed="false">
      <c r="A38" s="26"/>
      <c r="B38" s="22"/>
      <c r="C38" s="22"/>
      <c r="D38" s="23"/>
      <c r="E38" s="22"/>
      <c r="F38" s="22"/>
      <c r="G38" s="22"/>
      <c r="H38" s="24" t="str">
        <f aca="false">IF(OR(F38="",F38=0),"",G38/F38)</f>
        <v/>
      </c>
      <c r="I38" s="22"/>
      <c r="J38" s="22"/>
    </row>
    <row r="39" customFormat="false" ht="15" hidden="false" customHeight="false" outlineLevel="0" collapsed="false">
      <c r="A39" s="26"/>
      <c r="B39" s="22"/>
      <c r="C39" s="22"/>
      <c r="D39" s="23"/>
      <c r="E39" s="22"/>
      <c r="F39" s="22"/>
      <c r="G39" s="22"/>
      <c r="H39" s="24" t="str">
        <f aca="false">IF(OR(F39="",F39=0),"",G39/F39)</f>
        <v/>
      </c>
      <c r="I39" s="22"/>
      <c r="J39" s="22"/>
    </row>
    <row r="40" customFormat="false" ht="15" hidden="false" customHeight="false" outlineLevel="0" collapsed="false">
      <c r="A40" s="26"/>
      <c r="B40" s="22"/>
      <c r="C40" s="22"/>
      <c r="D40" s="23"/>
      <c r="E40" s="22"/>
      <c r="F40" s="22"/>
      <c r="G40" s="22"/>
      <c r="H40" s="24" t="str">
        <f aca="false">IF(OR(F40="",F40=0),"",G40/F40)</f>
        <v/>
      </c>
      <c r="I40" s="22"/>
      <c r="J40" s="22"/>
    </row>
    <row r="41" customFormat="false" ht="15" hidden="false" customHeight="false" outlineLevel="0" collapsed="false">
      <c r="A41" s="26"/>
      <c r="B41" s="22"/>
      <c r="C41" s="22"/>
      <c r="D41" s="23"/>
      <c r="E41" s="22"/>
      <c r="F41" s="22"/>
      <c r="G41" s="22"/>
      <c r="H41" s="24" t="str">
        <f aca="false">IF(OR(F41="",F41=0),"",G41/F41)</f>
        <v/>
      </c>
      <c r="I41" s="22"/>
      <c r="J41" s="22"/>
    </row>
    <row r="42" customFormat="false" ht="15" hidden="false" customHeight="false" outlineLevel="0" collapsed="false">
      <c r="A42" s="26"/>
      <c r="B42" s="22"/>
      <c r="C42" s="22"/>
      <c r="D42" s="23"/>
      <c r="E42" s="22"/>
      <c r="F42" s="22"/>
      <c r="G42" s="22"/>
      <c r="H42" s="24" t="str">
        <f aca="false">IF(OR(F42="",F42=0),"",G42/F42)</f>
        <v/>
      </c>
      <c r="I42" s="22"/>
      <c r="J42" s="22"/>
    </row>
    <row r="43" customFormat="false" ht="15" hidden="false" customHeight="false" outlineLevel="0" collapsed="false">
      <c r="A43" s="26"/>
      <c r="B43" s="22"/>
      <c r="C43" s="22"/>
      <c r="D43" s="23"/>
      <c r="E43" s="22"/>
      <c r="F43" s="22"/>
      <c r="G43" s="22"/>
      <c r="H43" s="24" t="str">
        <f aca="false">IF(OR(F43="",F43=0),"",G43/F43)</f>
        <v/>
      </c>
      <c r="I43" s="22"/>
      <c r="J43" s="22"/>
    </row>
    <row r="44" customFormat="false" ht="15" hidden="false" customHeight="false" outlineLevel="0" collapsed="false">
      <c r="A44" s="26"/>
      <c r="B44" s="22"/>
      <c r="C44" s="22"/>
      <c r="D44" s="23"/>
      <c r="E44" s="22"/>
      <c r="F44" s="22"/>
      <c r="G44" s="22"/>
      <c r="H44" s="24" t="str">
        <f aca="false">IF(OR(F44="",F44=0),"",G44/F44)</f>
        <v/>
      </c>
      <c r="I44" s="22"/>
      <c r="J44" s="22"/>
    </row>
    <row r="45" customFormat="false" ht="15" hidden="false" customHeight="false" outlineLevel="0" collapsed="false">
      <c r="A45" s="26"/>
      <c r="B45" s="22"/>
      <c r="C45" s="22"/>
      <c r="D45" s="23"/>
      <c r="E45" s="22"/>
      <c r="F45" s="22"/>
      <c r="G45" s="22"/>
      <c r="H45" s="24" t="str">
        <f aca="false">IF(OR(F45="",F45=0),"",G45/F45)</f>
        <v/>
      </c>
      <c r="I45" s="22"/>
      <c r="J45" s="22"/>
    </row>
    <row r="46" customFormat="false" ht="15" hidden="false" customHeight="false" outlineLevel="0" collapsed="false">
      <c r="A46" s="26"/>
      <c r="B46" s="22"/>
      <c r="C46" s="22"/>
      <c r="D46" s="23"/>
      <c r="E46" s="22"/>
      <c r="F46" s="22"/>
      <c r="G46" s="22"/>
      <c r="H46" s="24" t="str">
        <f aca="false">IF(OR(F46="",F46=0),"",G46/F46)</f>
        <v/>
      </c>
      <c r="I46" s="22"/>
      <c r="J46" s="22"/>
    </row>
    <row r="47" customFormat="false" ht="15" hidden="false" customHeight="false" outlineLevel="0" collapsed="false">
      <c r="A47" s="26"/>
      <c r="B47" s="22"/>
      <c r="C47" s="22"/>
      <c r="D47" s="23"/>
      <c r="E47" s="22"/>
      <c r="F47" s="22"/>
      <c r="G47" s="22"/>
      <c r="H47" s="24" t="str">
        <f aca="false">IF(OR(F47="",F47=0),"",G47/F47)</f>
        <v/>
      </c>
      <c r="I47" s="22"/>
      <c r="J47" s="22"/>
    </row>
    <row r="48" customFormat="false" ht="15" hidden="false" customHeight="false" outlineLevel="0" collapsed="false">
      <c r="A48" s="26"/>
      <c r="B48" s="22"/>
      <c r="C48" s="22"/>
      <c r="D48" s="23"/>
      <c r="E48" s="22"/>
      <c r="F48" s="22"/>
      <c r="G48" s="22"/>
      <c r="H48" s="24" t="str">
        <f aca="false">IF(OR(F48="",F48=0),"",G48/F48)</f>
        <v/>
      </c>
      <c r="I48" s="22"/>
      <c r="J48" s="22"/>
    </row>
    <row r="49" customFormat="false" ht="15" hidden="false" customHeight="false" outlineLevel="0" collapsed="false">
      <c r="A49" s="26"/>
      <c r="B49" s="22"/>
      <c r="C49" s="22"/>
      <c r="D49" s="23"/>
      <c r="E49" s="22"/>
      <c r="F49" s="22"/>
      <c r="G49" s="22"/>
      <c r="H49" s="24" t="str">
        <f aca="false">IF(OR(F49="",F49=0),"",G49/F49)</f>
        <v/>
      </c>
      <c r="I49" s="22"/>
      <c r="J49" s="22"/>
    </row>
    <row r="50" customFormat="false" ht="15" hidden="false" customHeight="false" outlineLevel="0" collapsed="false">
      <c r="A50" s="26"/>
      <c r="B50" s="22"/>
      <c r="C50" s="22"/>
      <c r="D50" s="23"/>
      <c r="E50" s="22"/>
      <c r="F50" s="22"/>
      <c r="G50" s="22"/>
      <c r="H50" s="24" t="str">
        <f aca="false">IF(OR(F50="",F50=0),"",G50/F50)</f>
        <v/>
      </c>
      <c r="I50" s="22"/>
      <c r="J50" s="22"/>
    </row>
    <row r="51" customFormat="false" ht="15" hidden="false" customHeight="false" outlineLevel="0" collapsed="false">
      <c r="A51" s="26"/>
      <c r="B51" s="22"/>
      <c r="C51" s="22"/>
      <c r="D51" s="23"/>
      <c r="E51" s="22"/>
      <c r="F51" s="22"/>
      <c r="G51" s="22"/>
      <c r="H51" s="24" t="str">
        <f aca="false">IF(OR(F51="",F51=0),"",G51/F51)</f>
        <v/>
      </c>
      <c r="I51" s="22"/>
      <c r="J51" s="22"/>
    </row>
    <row r="52" customFormat="false" ht="15" hidden="false" customHeight="false" outlineLevel="0" collapsed="false">
      <c r="A52" s="26"/>
      <c r="B52" s="22"/>
      <c r="C52" s="22"/>
      <c r="D52" s="23"/>
      <c r="E52" s="22"/>
      <c r="F52" s="22"/>
      <c r="G52" s="22"/>
      <c r="H52" s="24" t="str">
        <f aca="false">IF(OR(F52="",F52=0),"",G52/F52)</f>
        <v/>
      </c>
      <c r="I52" s="22"/>
      <c r="J52" s="22"/>
    </row>
    <row r="53" customFormat="false" ht="15" hidden="false" customHeight="false" outlineLevel="0" collapsed="false">
      <c r="A53" s="26"/>
      <c r="B53" s="22"/>
      <c r="C53" s="22"/>
      <c r="D53" s="23"/>
      <c r="E53" s="22"/>
      <c r="F53" s="22"/>
      <c r="G53" s="22"/>
      <c r="H53" s="24" t="str">
        <f aca="false">IF(OR(F53="",F53=0),"",G53/F53)</f>
        <v/>
      </c>
      <c r="I53" s="22"/>
      <c r="J53" s="22"/>
    </row>
    <row r="54" customFormat="false" ht="15" hidden="false" customHeight="false" outlineLevel="0" collapsed="false">
      <c r="A54" s="26"/>
      <c r="B54" s="22"/>
      <c r="C54" s="22"/>
      <c r="D54" s="23"/>
      <c r="E54" s="22"/>
      <c r="F54" s="22"/>
      <c r="G54" s="22"/>
      <c r="H54" s="24" t="str">
        <f aca="false">IF(OR(F54="",F54=0),"",G54/F54)</f>
        <v/>
      </c>
      <c r="I54" s="22"/>
      <c r="J54" s="22"/>
    </row>
    <row r="55" customFormat="false" ht="15" hidden="false" customHeight="false" outlineLevel="0" collapsed="false">
      <c r="A55" s="26"/>
      <c r="B55" s="22"/>
      <c r="C55" s="22"/>
      <c r="D55" s="23"/>
      <c r="E55" s="22"/>
      <c r="F55" s="22"/>
      <c r="G55" s="22"/>
      <c r="H55" s="24" t="str">
        <f aca="false">IF(OR(F55="",F55=0),"",G55/F55)</f>
        <v/>
      </c>
      <c r="I55" s="22"/>
      <c r="J55" s="22"/>
    </row>
    <row r="56" customFormat="false" ht="15" hidden="false" customHeight="false" outlineLevel="0" collapsed="false">
      <c r="A56" s="26"/>
      <c r="B56" s="22"/>
      <c r="C56" s="22"/>
      <c r="D56" s="23"/>
      <c r="E56" s="22"/>
      <c r="F56" s="22"/>
      <c r="G56" s="22"/>
      <c r="H56" s="24" t="str">
        <f aca="false">IF(OR(F56="",F56=0),"",G56/F56)</f>
        <v/>
      </c>
      <c r="I56" s="22"/>
      <c r="J56" s="22"/>
    </row>
    <row r="57" customFormat="false" ht="15" hidden="false" customHeight="false" outlineLevel="0" collapsed="false">
      <c r="A57" s="26"/>
      <c r="B57" s="22"/>
      <c r="C57" s="22"/>
      <c r="D57" s="23"/>
      <c r="E57" s="22"/>
      <c r="F57" s="22"/>
      <c r="G57" s="22"/>
      <c r="H57" s="24" t="str">
        <f aca="false">IF(OR(F57="",F57=0),"",G57/F57)</f>
        <v/>
      </c>
      <c r="I57" s="22"/>
      <c r="J57" s="22"/>
    </row>
    <row r="58" customFormat="false" ht="15" hidden="false" customHeight="false" outlineLevel="0" collapsed="false">
      <c r="A58" s="26"/>
      <c r="B58" s="22"/>
      <c r="C58" s="22"/>
      <c r="D58" s="23"/>
      <c r="E58" s="22"/>
      <c r="F58" s="22"/>
      <c r="G58" s="22"/>
      <c r="H58" s="24" t="str">
        <f aca="false">IF(OR(F58="",F58=0),"",G58/F58)</f>
        <v/>
      </c>
      <c r="I58" s="22"/>
      <c r="J58" s="22"/>
    </row>
    <row r="59" customFormat="false" ht="15" hidden="false" customHeight="false" outlineLevel="0" collapsed="false">
      <c r="A59" s="26"/>
      <c r="B59" s="22"/>
      <c r="C59" s="22"/>
      <c r="D59" s="23"/>
      <c r="E59" s="22"/>
      <c r="F59" s="22"/>
      <c r="G59" s="22"/>
      <c r="H59" s="24" t="str">
        <f aca="false">IF(OR(F59="",F59=0),"",G59/F59)</f>
        <v/>
      </c>
      <c r="I59" s="22"/>
      <c r="J59" s="22"/>
    </row>
    <row r="60" customFormat="false" ht="15" hidden="false" customHeight="false" outlineLevel="0" collapsed="false">
      <c r="A60" s="26"/>
      <c r="B60" s="22"/>
      <c r="C60" s="22"/>
      <c r="D60" s="23"/>
      <c r="E60" s="22"/>
      <c r="F60" s="22"/>
      <c r="G60" s="22"/>
      <c r="H60" s="24" t="str">
        <f aca="false">IF(OR(F60="",F60=0),"",G60/F60)</f>
        <v/>
      </c>
      <c r="I60" s="22"/>
      <c r="J60" s="22"/>
    </row>
    <row r="61" customFormat="false" ht="15" hidden="false" customHeight="false" outlineLevel="0" collapsed="false">
      <c r="A61" s="26"/>
      <c r="B61" s="22"/>
      <c r="C61" s="22"/>
      <c r="D61" s="23"/>
      <c r="E61" s="22"/>
      <c r="F61" s="22"/>
      <c r="G61" s="22"/>
      <c r="H61" s="24" t="str">
        <f aca="false">IF(OR(F61="",F61=0),"",G61/F61)</f>
        <v/>
      </c>
      <c r="I61" s="22"/>
      <c r="J61" s="22"/>
    </row>
    <row r="62" customFormat="false" ht="15" hidden="false" customHeight="false" outlineLevel="0" collapsed="false">
      <c r="A62" s="26"/>
      <c r="B62" s="22"/>
      <c r="C62" s="22"/>
      <c r="D62" s="23"/>
      <c r="E62" s="22"/>
      <c r="F62" s="22"/>
      <c r="G62" s="22"/>
      <c r="H62" s="24" t="str">
        <f aca="false">IF(OR(F62="",F62=0),"",G62/F62)</f>
        <v/>
      </c>
      <c r="I62" s="22"/>
      <c r="J62" s="22"/>
    </row>
    <row r="63" customFormat="false" ht="15" hidden="false" customHeight="false" outlineLevel="0" collapsed="false">
      <c r="A63" s="26"/>
      <c r="B63" s="22"/>
      <c r="C63" s="22"/>
      <c r="D63" s="23"/>
      <c r="E63" s="22"/>
      <c r="F63" s="22"/>
      <c r="G63" s="22"/>
      <c r="H63" s="24" t="str">
        <f aca="false">IF(OR(F63="",F63=0),"",G63/F63)</f>
        <v/>
      </c>
      <c r="I63" s="22"/>
      <c r="J63" s="22"/>
    </row>
    <row r="64" customFormat="false" ht="15" hidden="false" customHeight="false" outlineLevel="0" collapsed="false">
      <c r="A64" s="26"/>
      <c r="B64" s="22"/>
      <c r="C64" s="22"/>
      <c r="D64" s="23"/>
      <c r="E64" s="22"/>
      <c r="F64" s="22"/>
      <c r="G64" s="22"/>
      <c r="H64" s="24" t="str">
        <f aca="false">IF(OR(F64="",F64=0),"",G64/F64)</f>
        <v/>
      </c>
      <c r="I64" s="22"/>
      <c r="J64" s="22"/>
    </row>
    <row r="65" customFormat="false" ht="15" hidden="false" customHeight="false" outlineLevel="0" collapsed="false">
      <c r="A65" s="26"/>
      <c r="B65" s="22"/>
      <c r="C65" s="22"/>
      <c r="D65" s="23"/>
      <c r="E65" s="22"/>
      <c r="F65" s="22"/>
      <c r="G65" s="22"/>
      <c r="H65" s="24" t="str">
        <f aca="false">IF(OR(F65="",F65=0),"",G65/F65)</f>
        <v/>
      </c>
      <c r="I65" s="22"/>
      <c r="J65" s="22"/>
    </row>
  </sheetData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6606B"/>
    <pageSetUpPr fitToPage="tru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13" min="9" style="0" width="20"/>
    <col collapsed="false" customWidth="true" hidden="false" outlineLevel="0" max="15" min="15" style="0" width="20"/>
    <col collapsed="false" customWidth="true" hidden="false" outlineLevel="0" max="16" min="16" style="0" width="14"/>
    <col collapsed="false" customWidth="true" hidden="false" outlineLevel="0" max="17" min="17" style="0" width="24"/>
  </cols>
  <sheetData>
    <row r="1" customFormat="false" ht="30" hidden="false" customHeight="true" outlineLevel="0" collapsed="false">
      <c r="A1" s="7" t="s">
        <v>321</v>
      </c>
    </row>
    <row r="2" customFormat="false" ht="15" hidden="false" customHeight="false" outlineLevel="0" collapsed="false">
      <c r="A2" s="2" t="s">
        <v>322</v>
      </c>
    </row>
    <row r="3" customFormat="false" ht="15" hidden="false" customHeight="false" outlineLevel="0" collapsed="false">
      <c r="A3" s="19" t="s">
        <v>58</v>
      </c>
    </row>
    <row r="4" customFormat="false" ht="15" hidden="false" customHeight="false" outlineLevel="0" collapsed="false">
      <c r="B4" s="13" t="s">
        <v>323</v>
      </c>
      <c r="C4" s="13" t="s">
        <v>54</v>
      </c>
    </row>
    <row r="5" customFormat="false" ht="15" hidden="false" customHeight="false" outlineLevel="0" collapsed="false">
      <c r="B5" s="37" t="s">
        <v>324</v>
      </c>
      <c r="C5" s="22" t="s">
        <v>325</v>
      </c>
    </row>
    <row r="6" customFormat="false" ht="15" hidden="false" customHeight="false" outlineLevel="0" collapsed="false">
      <c r="B6" s="37" t="s">
        <v>326</v>
      </c>
      <c r="C6" s="28" t="n">
        <f aca="true">IF(C9&lt;&gt;"",C9,TODAY())</f>
        <v>46289</v>
      </c>
    </row>
    <row r="7" customFormat="false" ht="15" hidden="false" customHeight="false" outlineLevel="0" collapsed="false">
      <c r="B7" s="37" t="s">
        <v>327</v>
      </c>
      <c r="C7" s="39" t="n">
        <v>14</v>
      </c>
    </row>
    <row r="8" customFormat="false" ht="15" hidden="false" customHeight="false" outlineLevel="0" collapsed="false">
      <c r="B8" s="37" t="s">
        <v>328</v>
      </c>
      <c r="C8" s="22" t="s">
        <v>329</v>
      </c>
    </row>
    <row r="9" customFormat="false" ht="15" hidden="false" customHeight="false" outlineLevel="0" collapsed="false">
      <c r="B9" s="37" t="s">
        <v>330</v>
      </c>
      <c r="C9" s="26"/>
    </row>
    <row r="10" customFormat="false" ht="15" hidden="false" customHeight="false" outlineLevel="0" collapsed="false">
      <c r="B10" s="37" t="s">
        <v>287</v>
      </c>
      <c r="C10" s="22" t="s">
        <v>139</v>
      </c>
    </row>
    <row r="12" customFormat="false" ht="15" hidden="false" customHeight="false" outlineLevel="0" collapsed="false">
      <c r="E12" s="40" t="s">
        <v>331</v>
      </c>
    </row>
    <row r="13" customFormat="false" ht="30" hidden="false" customHeight="true" outlineLevel="0" collapsed="false">
      <c r="E13" s="13" t="s">
        <v>332</v>
      </c>
      <c r="F13" s="13" t="s">
        <v>333</v>
      </c>
      <c r="G13" s="13" t="s">
        <v>334</v>
      </c>
      <c r="I13" s="13" t="s">
        <v>335</v>
      </c>
      <c r="J13" s="13" t="s">
        <v>336</v>
      </c>
      <c r="K13" s="13" t="s">
        <v>337</v>
      </c>
      <c r="L13" s="13" t="s">
        <v>338</v>
      </c>
      <c r="M13" s="13" t="s">
        <v>339</v>
      </c>
      <c r="O13" s="13" t="s">
        <v>340</v>
      </c>
      <c r="P13" s="13" t="s">
        <v>341</v>
      </c>
      <c r="Q13" s="13" t="s">
        <v>342</v>
      </c>
    </row>
    <row r="14" customFormat="false" ht="15" hidden="false" customHeight="false" outlineLevel="0" collapsed="false">
      <c r="E14" s="22" t="s">
        <v>111</v>
      </c>
      <c r="F14" s="30" t="n">
        <v>0.1</v>
      </c>
      <c r="G14" s="22" t="s">
        <v>343</v>
      </c>
      <c r="I14" s="22" t="s">
        <v>344</v>
      </c>
      <c r="J14" s="22" t="s">
        <v>206</v>
      </c>
      <c r="K14" s="22" t="s">
        <v>141</v>
      </c>
      <c r="L14" s="22" t="s">
        <v>83</v>
      </c>
      <c r="M14" s="22" t="s">
        <v>82</v>
      </c>
      <c r="O14" s="22" t="s">
        <v>174</v>
      </c>
      <c r="P14" s="22" t="n">
        <v>-3</v>
      </c>
      <c r="Q14" s="22" t="s">
        <v>345</v>
      </c>
    </row>
    <row r="15" customFormat="false" ht="15" hidden="false" customHeight="false" outlineLevel="0" collapsed="false">
      <c r="E15" s="22" t="s">
        <v>98</v>
      </c>
      <c r="F15" s="30" t="n">
        <v>0.25</v>
      </c>
      <c r="G15" s="22" t="s">
        <v>343</v>
      </c>
      <c r="I15" s="22" t="s">
        <v>197</v>
      </c>
      <c r="J15" s="22" t="s">
        <v>210</v>
      </c>
      <c r="K15" s="22" t="s">
        <v>137</v>
      </c>
      <c r="L15" s="22" t="s">
        <v>97</v>
      </c>
      <c r="M15" s="22" t="s">
        <v>96</v>
      </c>
      <c r="O15" s="22" t="s">
        <v>346</v>
      </c>
      <c r="P15" s="22" t="n">
        <v>0</v>
      </c>
      <c r="Q15" s="22" t="s">
        <v>347</v>
      </c>
    </row>
    <row r="16" customFormat="false" ht="15" hidden="false" customHeight="false" outlineLevel="0" collapsed="false">
      <c r="E16" s="22" t="s">
        <v>91</v>
      </c>
      <c r="F16" s="30" t="n">
        <v>0.5</v>
      </c>
      <c r="G16" s="22" t="s">
        <v>343</v>
      </c>
      <c r="I16" s="22" t="s">
        <v>203</v>
      </c>
      <c r="J16" s="22" t="s">
        <v>196</v>
      </c>
      <c r="K16" s="22" t="s">
        <v>348</v>
      </c>
      <c r="L16" s="22" t="s">
        <v>90</v>
      </c>
      <c r="M16" s="22" t="s">
        <v>109</v>
      </c>
      <c r="O16" s="22" t="s">
        <v>165</v>
      </c>
      <c r="P16" s="22" t="n">
        <v>7</v>
      </c>
      <c r="Q16" s="22" t="s">
        <v>349</v>
      </c>
    </row>
    <row r="17" customFormat="false" ht="15" hidden="false" customHeight="false" outlineLevel="0" collapsed="false">
      <c r="E17" s="22" t="s">
        <v>104</v>
      </c>
      <c r="F17" s="30" t="n">
        <v>1</v>
      </c>
      <c r="G17" s="22" t="s">
        <v>350</v>
      </c>
      <c r="I17" s="22" t="s">
        <v>351</v>
      </c>
      <c r="J17" s="22" t="s">
        <v>219</v>
      </c>
      <c r="K17" s="22" t="s">
        <v>145</v>
      </c>
      <c r="L17" s="22" t="s">
        <v>110</v>
      </c>
      <c r="M17" s="22" t="s">
        <v>352</v>
      </c>
      <c r="O17" s="22" t="s">
        <v>353</v>
      </c>
      <c r="P17" s="22" t="n">
        <v>14</v>
      </c>
      <c r="Q17" s="22" t="s">
        <v>354</v>
      </c>
    </row>
    <row r="18" customFormat="false" ht="15" hidden="false" customHeight="false" outlineLevel="0" collapsed="false">
      <c r="E18" s="22" t="s">
        <v>84</v>
      </c>
      <c r="F18" s="30" t="n">
        <v>1</v>
      </c>
      <c r="G18" s="22" t="s">
        <v>350</v>
      </c>
      <c r="I18" s="22" t="s">
        <v>355</v>
      </c>
      <c r="J18" s="22" t="s">
        <v>356</v>
      </c>
      <c r="K18" s="22" t="s">
        <v>357</v>
      </c>
      <c r="L18" s="22" t="s">
        <v>358</v>
      </c>
      <c r="M18" s="22"/>
      <c r="O18" s="22" t="s">
        <v>359</v>
      </c>
      <c r="P18" s="22" t="n">
        <v>30</v>
      </c>
      <c r="Q18" s="22" t="s">
        <v>360</v>
      </c>
    </row>
    <row r="19" customFormat="false" ht="15" hidden="false" customHeight="false" outlineLevel="0" collapsed="false">
      <c r="E19" s="22" t="s">
        <v>361</v>
      </c>
      <c r="F19" s="30" t="n">
        <v>1</v>
      </c>
      <c r="G19" s="22" t="s">
        <v>350</v>
      </c>
      <c r="J19" s="22" t="s">
        <v>202</v>
      </c>
      <c r="L19" s="22" t="s">
        <v>362</v>
      </c>
      <c r="M19" s="22"/>
    </row>
    <row r="20" customFormat="false" ht="15" hidden="false" customHeight="false" outlineLevel="0" collapsed="false">
      <c r="E20" s="22" t="s">
        <v>116</v>
      </c>
      <c r="F20" s="30" t="n">
        <v>0</v>
      </c>
      <c r="G20" s="22" t="s">
        <v>363</v>
      </c>
      <c r="L20" s="22" t="s">
        <v>364</v>
      </c>
      <c r="M20" s="22"/>
      <c r="O20" s="18" t="s">
        <v>365</v>
      </c>
    </row>
    <row r="21" customFormat="false" ht="15" hidden="false" customHeight="false" outlineLevel="0" collapsed="false">
      <c r="E21" s="22" t="s">
        <v>121</v>
      </c>
      <c r="F21" s="30" t="n">
        <v>0</v>
      </c>
      <c r="G21" s="22" t="s">
        <v>363</v>
      </c>
      <c r="L21" s="22" t="s">
        <v>103</v>
      </c>
      <c r="M21" s="22"/>
    </row>
    <row r="22" customFormat="false" ht="15" hidden="false" customHeight="false" outlineLevel="0" collapsed="false">
      <c r="L22" s="22" t="s">
        <v>352</v>
      </c>
      <c r="M22" s="22"/>
    </row>
    <row r="23" customFormat="false" ht="15" hidden="false" customHeight="false" outlineLevel="0" collapsed="false">
      <c r="E23" s="18" t="s">
        <v>366</v>
      </c>
      <c r="M23" s="22"/>
    </row>
    <row r="24" customFormat="false" ht="15" hidden="false" customHeight="false" outlineLevel="0" collapsed="false">
      <c r="M24" s="22"/>
    </row>
    <row r="25" customFormat="false" ht="15" hidden="false" customHeight="false" outlineLevel="0" collapsed="false">
      <c r="M25" s="22"/>
    </row>
  </sheetData>
  <dataValidations count="1">
    <dataValidation allowBlank="true" error="Please pick a value from the list (edit lists on the Settings tab)." errorStyle="stop" errorTitle="Not in list" operator="between" showDropDown="false" showErrorMessage="true" showInputMessage="false" sqref="C10" type="list">
      <formula1>"Monday,Tuesday,Wednesday,Thursday,Friday"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2026-09-24T21:14:20Z</dcterms:created>
  <dc:creator>Band of One</dc:creator>
  <dc:description/>
  <dc:language>en-US</dc:language>
  <cp:lastModifiedBy/>
  <dcterms:modified xsi:type="dcterms:W3CDTF">2026-09-24T21:14:24Z</dcterms:modified>
  <cp:revision>1</cp:revision>
  <dc:subject/>
  <dc:title>The Client Desk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