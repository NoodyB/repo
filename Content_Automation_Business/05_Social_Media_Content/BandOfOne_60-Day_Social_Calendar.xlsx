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 sheetId="1" state="visible" r:id="rId3"/>
    <sheet name="Summary" sheetId="2" state="visible" r:id="rId4"/>
  </sheets>
  <definedNames>
    <definedName function="false" hidden="true" localSheetId="0" name="_xlnm._FilterDatabase" vbProcedure="false">Calendar!$A$4:$P$114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<sst xmlns="http://schemas.openxmlformats.org/spreadsheetml/2006/main" count="1148" uniqueCount="550">
  <si>
    <t xml:space="preserve">Band of One: 60-day social calendar (Month 1 content → Month 2 product launch)</t>
  </si>
  <si>
    <t xml:space="preserve">Start date (Day 1):</t>
  </si>
  <si>
    <t xml:space="preserve">Type your Day 1 date in the yellow cell; every date below updates. Launch day = Day 38 (Month 2, day 8). Nothing is scheduled or posted automatically.</t>
  </si>
  <si>
    <t xml:space="preserve">Day</t>
  </si>
  <si>
    <t xml:space="preserve">Date</t>
  </si>
  <si>
    <t xml:space="preserve">Weekday</t>
  </si>
  <si>
    <t xml:space="preserve">Campaign month</t>
  </si>
  <si>
    <t xml:space="preserve">Channel</t>
  </si>
  <si>
    <t xml:space="preserve">Type</t>
  </si>
  <si>
    <t xml:space="preserve">ID</t>
  </si>
  <si>
    <t xml:space="preserve">Title / concept</t>
  </si>
  <si>
    <t xml:space="preserve">Hook</t>
  </si>
  <si>
    <t xml:space="preserve">Link</t>
  </si>
  <si>
    <t xml:space="preserve">Caption / post text</t>
  </si>
  <si>
    <t xml:space="preserve">Hashtags</t>
  </si>
  <si>
    <t xml:space="preserve">Graphic</t>
  </si>
  <si>
    <t xml:space="preserve">Status</t>
  </si>
  <si>
    <t xml:space="preserve">Posted URL</t>
  </si>
  <si>
    <t xml:space="preserve">Notes</t>
  </si>
  <si>
    <t xml:space="preserve">Month 1: Content</t>
  </si>
  <si>
    <t xml:space="preserve">LinkedIn</t>
  </si>
  <si>
    <t xml:space="preserve">Educational post</t>
  </si>
  <si>
    <t xml:space="preserve">C-E01</t>
  </si>
  <si>
    <t xml:space="preserve">The onboarding checklist</t>
  </si>
  <si>
    <t xml:space="preserve">/blog/client-onboarding-checklist/</t>
  </si>
  <si>
    <t xml:space="preserve">Most client problems start in week one, not week ten.
A 7-step onboarding checklist that prevents most of them:
1. Proposal accepted in writing
2. Agreement signed (scope, exclusions, payment terms, revisions)
3. Deposit invoice sent. Work starts when it clears
4. Welcome email with numbered next steps
5. Intake form instead of 20 questions by email
6. Communication norms agreed: where, when, how fast
7. Kickoff call with an agenda, plus a written summary the same day
Same steps, same order, every client. After three clients you'll know which questions to add to your form.
Full checklist + free tools: [link]</t>
  </si>
  <si>
    <t xml:space="preserve">#freelancetips #clientexperience #smallbusinesstips #solopreneur #consultantlife</t>
  </si>
  <si>
    <t xml:space="preserve">Draft</t>
  </si>
  <si>
    <t xml:space="preserve">TikTok / Reels / Shorts (+ LinkedIn native)</t>
  </si>
  <si>
    <t xml:space="preserve">Short video</t>
  </si>
  <si>
    <t xml:space="preserve">C-V01</t>
  </si>
  <si>
    <t xml:space="preserve">The 30-minute onboarding checklist</t>
  </si>
  <si>
    <t xml:space="preserve">Most client problems start in the first week, not the last.</t>
  </si>
  <si>
    <t xml:space="preserve">Most client problems start in week one. Here's the 7-step onboarding checklist I'd give every freelancer: same steps, same order, every client. Full checklist + free tools at the link in bio.</t>
  </si>
  <si>
    <t xml:space="preserve">graphics/video_covers/C-V01.png</t>
  </si>
  <si>
    <t xml:space="preserve">LinkedIn + Instagram</t>
  </si>
  <si>
    <t xml:space="preserve">Promotional post</t>
  </si>
  <si>
    <t xml:space="preserve">C-P01</t>
  </si>
  <si>
    <t xml:space="preserve">Free starter kit launch</t>
  </si>
  <si>
    <t xml:space="preserve">/newsletter/</t>
  </si>
  <si>
    <t xml:space="preserve">New and free: the Client Admin Starter Kit.
10 AI prompts for the admin you do every week (inquiry replies, call summaries, proposals, welcome emails, weekly updates, scope changes, payment reminders, testimonial requests), plus a printable 30-minute weekly review checklist.
Works with free AI plans. Get it here: [link]</t>
  </si>
  <si>
    <t xml:space="preserve">#bandofone #solopreneur #freelancer #virtualassistant #consultant</t>
  </si>
  <si>
    <t xml:space="preserve">graphics/promo_cards/C-P01.png</t>
  </si>
  <si>
    <t xml:space="preserve">C-V02</t>
  </si>
  <si>
    <t xml:space="preserve">Never paste these into ChatGPT</t>
  </si>
  <si>
    <t xml:space="preserve">Five things that should never go into an AI chat, even for client work.</t>
  </si>
  <si>
    <t xml:space="preserve">/blog/client-data-privacy-ai/</t>
  </si>
  <si>
    <t xml:space="preserve">Using AI for client emails? Five things that never go in the chat, plus the 5-second redaction habit for everything else. The settings for ChatGPT, Claude and Gemini are in the full guide (link in bio).</t>
  </si>
  <si>
    <t xml:space="preserve">#AItools #ChatGPTtips #AIforBusiness #promptengineering #freelancetips</t>
  </si>
  <si>
    <t xml:space="preserve">graphics/video_covers/C-V02.png</t>
  </si>
  <si>
    <t xml:space="preserve">Instagram</t>
  </si>
  <si>
    <t xml:space="preserve">Educational post (carousel)</t>
  </si>
  <si>
    <t xml:space="preserve">C-E02</t>
  </si>
  <si>
    <t xml:space="preserve">5 things never to paste into AI</t>
  </si>
  <si>
    <t xml:space="preserve">Save this for the next time you're about to paste an email thread into an AI chat. The redaction habit takes five seconds, and the full privacy routine (with where to find the ChatGPT, Claude and Gemini settings) is at the link in bio.</t>
  </si>
  <si>
    <t xml:space="preserve">graphics/carousels/C-E02_01.png</t>
  </si>
  <si>
    <t xml:space="preserve">C-V03</t>
  </si>
  <si>
    <t xml:space="preserve">The 5-stage payment reminder schedule</t>
  </si>
  <si>
    <t xml:space="preserve">Chasing invoices feels personal because you haven't decided the schedule in advance.</t>
  </si>
  <si>
    <t xml:space="preserve">/blog/payment-reminder-schedule/</t>
  </si>
  <si>
    <t xml:space="preserve">Chasing invoices gets easier when the schedule is decided in advance. Five stages, five templates, from a friendly heads-up to a final notice. Link in bio.</t>
  </si>
  <si>
    <t xml:space="preserve">#freelancebusiness #invoicing #smallbusinessowner #getpaid #solopreneur</t>
  </si>
  <si>
    <t xml:space="preserve">graphics/video_covers/C-V03.png</t>
  </si>
  <si>
    <t xml:space="preserve">C-V04</t>
  </si>
  <si>
    <t xml:space="preserve">Why your AI emails sound generic</t>
  </si>
  <si>
    <t xml:space="preserve">Your AI emails sound generic because the AI knows nothing about your business.</t>
  </si>
  <si>
    <t xml:space="preserve">/blog/ai-business-brief/</t>
  </si>
  <si>
    <t xml:space="preserve">If your AI drafts sound generic, it's usually missing context, not a better prompt. Build a one-page business brief once (the interview prompt is in the link in bio) and every draft starts from your reality.</t>
  </si>
  <si>
    <t xml:space="preserve">graphics/video_covers/C-V04.png</t>
  </si>
  <si>
    <t xml:space="preserve">C-E03</t>
  </si>
  <si>
    <t xml:space="preserve">Payment reminders, decided once</t>
  </si>
  <si>
    <t xml:space="preserve">Chasing invoices feels personal because most of us decide what to do each time.
Decide once:
A: 3 days before due: friendly heads-up (catches wrong-inbox problems)
B: due date: short reminder
C: +7 days: "anything holding it up?"
D: +14 days: ask for a payment date in writing
E: +30 days: final notice, stating only what's in your agreement
It matters: in Bonsai's data from 100,000+ freelancers, 29% of invoices were paid at least a day late (Bonsai, updated Jan 2026).
Templates for all five stages: [link]</t>
  </si>
  <si>
    <t xml:space="preserve">C-V05</t>
  </si>
  <si>
    <t xml:space="preserve">The weekly client update in 4 headings</t>
  </si>
  <si>
    <t xml:space="preserve">Clients chase you when they don't know what's happening.</t>
  </si>
  <si>
    <t xml:space="preserve">/blog/weekly-client-update-template/</t>
  </si>
  <si>
    <t xml:space="preserve">The five-minute weekly client update: four headings, same day every week. 'Needed from you (with dates)' is the line that does the heavy lifting. Template + AI prompt at the link in bio.</t>
  </si>
  <si>
    <t xml:space="preserve">graphics/video_covers/C-V05.png</t>
  </si>
  <si>
    <t xml:space="preserve">C-P02</t>
  </si>
  <si>
    <t xml:space="preserve">Free invoice tracker</t>
  </si>
  <si>
    <t xml:space="preserve">/blog/track-invoices-in-a-spreadsheet/</t>
  </si>
  <si>
    <t xml:space="preserve">Free download: a small spreadsheet that tells you which payment reminder to send (A–E) for every invoice.
Tested against eight scenarios before we published it. Works in Google Sheets and Excel. No sign-up needed.
Formulas explained + download: [link]</t>
  </si>
  <si>
    <t xml:space="preserve">graphics/promo_cards/C-P02.png</t>
  </si>
  <si>
    <t xml:space="preserve">C-V06</t>
  </si>
  <si>
    <t xml:space="preserve">Score before you automate</t>
  </si>
  <si>
    <t xml:space="preserve">Don't automate your admin yet. Score it first.</t>
  </si>
  <si>
    <t xml:space="preserve">/blog/what-to-automate-first/</t>
  </si>
  <si>
    <t xml:space="preserve">Before you buy an automation tool, score your admin tasks: (times per month × minutes) × repeatability ÷ risk. Often the best first fix is a template, not a robot. Method + example at the link in bio.</t>
  </si>
  <si>
    <t xml:space="preserve">#systemsthinking #SOP #productivitytips #solopreneur #businesssystems</t>
  </si>
  <si>
    <t xml:space="preserve">graphics/video_covers/C-V06.png</t>
  </si>
  <si>
    <t xml:space="preserve">C-E04</t>
  </si>
  <si>
    <t xml:space="preserve">The weekly client update</t>
  </si>
  <si>
    <t xml:space="preserve">Four headings, same day every week. The 'Needed from you' line turns vague delays into specific requests with dates. Template + AI prompt at the link in bio.</t>
  </si>
  <si>
    <t xml:space="preserve">graphics/carousels/C-E04_01.png</t>
  </si>
  <si>
    <t xml:space="preserve">C-V07</t>
  </si>
  <si>
    <t xml:space="preserve">What Band of One is (intro)</t>
  </si>
  <si>
    <t xml:space="preserve">If you run a service business on your own, you're also the whole back office.</t>
  </si>
  <si>
    <t xml:space="preserve">Band of One: practical AI systems for businesses of one. Workflows, templates and honest tool notes for freelancers, consultants, coaches and VAs. Start with the free starter kit (link in bio).</t>
  </si>
  <si>
    <t xml:space="preserve">graphics/video_covers/C-V07.png</t>
  </si>
  <si>
    <t xml:space="preserve">C-V08</t>
  </si>
  <si>
    <t xml:space="preserve">Deposits: the one sentence that matters</t>
  </si>
  <si>
    <t xml:space="preserve">The most important sentence in your payment terms is seven words long.</t>
  </si>
  <si>
    <t xml:space="preserve">/blog/deposits-and-payment-terms/</t>
  </si>
  <si>
    <t xml:space="preserve">Deposits, milestones and payment terms: decide them once and put them in every proposal. The wording (plus a full example) is at the link in bio. General info, not legal advice.</t>
  </si>
  <si>
    <t xml:space="preserve">graphics/video_covers/C-V08.png</t>
  </si>
  <si>
    <t xml:space="preserve">C-E05</t>
  </si>
  <si>
    <t xml:space="preserve">Why AI drafts sound generic</t>
  </si>
  <si>
    <t xml:space="preserve">If your AI drafts sound generic, the problem usually isn't the prompt. It's missing context.
The assistant doesn't know your services, your terms, or the promises you never make. So it fills the gaps with the average of everything it's read.
Fix it once with a one-page business brief:
→ Who I am
→ Services
→ Ideal clients
→ How I work
→ Policies
→ Tone and words to avoid
Let the AI interview you to build it (about 20 minutes), then reuse it everywhere.
The interview prompt: [link]</t>
  </si>
  <si>
    <t xml:space="preserve">C-V09</t>
  </si>
  <si>
    <t xml:space="preserve">Make AI sound like you</t>
  </si>
  <si>
    <t xml:space="preserve">You can spot an AI email from the first line.</t>
  </si>
  <si>
    <t xml:space="preserve">/blog/make-ai-sound-like-you/</t>
  </si>
  <si>
    <t xml:space="preserve">"I hope this email finds you well." Here's how to make AI drafts sound like you instead: a voice profile built from 3–5 of your real emails. Prompt and example at the link in bio.</t>
  </si>
  <si>
    <t xml:space="preserve">graphics/video_covers/C-V09.png</t>
  </si>
  <si>
    <t xml:space="preserve">C-P03</t>
  </si>
  <si>
    <t xml:space="preserve">Why we label tested vs researched</t>
  </si>
  <si>
    <t xml:space="preserve">/editorial-policy/</t>
  </si>
  <si>
    <t xml:space="preserve">A small promise from Band of One: every tool article is labeled.
Tested = we used it for the job described, and we say how.
Researched = based on official docs and pricing pages, with the date checked.
No "we tested 50 tools". No income claims. No fake testimonials.
Our editorial policy: [link]</t>
  </si>
  <si>
    <t xml:space="preserve">graphics/promo_cards/C-P03.png</t>
  </si>
  <si>
    <t xml:space="preserve">C-V10</t>
  </si>
  <si>
    <t xml:space="preserve">Scope creep: offer a choice</t>
  </si>
  <si>
    <t xml:space="preserve">Scope creep isn't a people problem. It's a visibility problem.</t>
  </si>
  <si>
    <t xml:space="preserve">/blog/scope-creep-email-templates/</t>
  </si>
  <si>
    <t xml:space="preserve">Scope creep is a visibility problem. Name the change, offer two options, wait for a yes. Four email templates (including the "quick favor") at the link in bio.</t>
  </si>
  <si>
    <t xml:space="preserve">graphics/video_covers/C-V10.png</t>
  </si>
  <si>
    <t xml:space="preserve">C-E06</t>
  </si>
  <si>
    <t xml:space="preserve">Score your admin before you automate</t>
  </si>
  <si>
    <t xml:space="preserve">The scoring method that stops you spending a weekend automating a task you do twice a month. Worked example at the link in bio.</t>
  </si>
  <si>
    <t xml:space="preserve">graphics/carousels/C-E06_01.png</t>
  </si>
  <si>
    <t xml:space="preserve">C-V11</t>
  </si>
  <si>
    <t xml:space="preserve">Spreadsheet formula: which reminder is due</t>
  </si>
  <si>
    <t xml:space="preserve">One spreadsheet formula can tell you which payment reminder to send.</t>
  </si>
  <si>
    <t xml:space="preserve">A spreadsheet that tells you which payment reminder to send (A–E). Tested against eight scenarios; works in Google Sheets and Excel. Free starter file at the link in bio.</t>
  </si>
  <si>
    <t xml:space="preserve">graphics/video_covers/C-V11.png</t>
  </si>
  <si>
    <t xml:space="preserve">C-P04</t>
  </si>
  <si>
    <t xml:space="preserve">Newsletter: one idea a week</t>
  </si>
  <si>
    <t xml:space="preserve">One practical admin-system idea a week, by email. Short, useful, no hype. Plus the free starter kit when you sign up. Unsubscribe any time. Link in bio.</t>
  </si>
  <si>
    <t xml:space="preserve">graphics/promo_cards/C-P04.png</t>
  </si>
  <si>
    <t xml:space="preserve">C-V12</t>
  </si>
  <si>
    <t xml:space="preserve">The weekly admin review</t>
  </si>
  <si>
    <t xml:space="preserve">Admin with no set time leaks into every day.</t>
  </si>
  <si>
    <t xml:space="preserve">/blog/weekly-admin-review/</t>
  </si>
  <si>
    <t xml:space="preserve">One 45-minute appointment a week keeps admin out of the rest of your week. The five-block agenda (plus an AI prompt that pre-sorts it) is at the link in bio.</t>
  </si>
  <si>
    <t xml:space="preserve">graphics/video_covers/C-V12.png</t>
  </si>
  <si>
    <t xml:space="preserve">C-E07</t>
  </si>
  <si>
    <t xml:space="preserve">Scope creep in one email</t>
  </si>
  <si>
    <t xml:space="preserve">Scope creep rarely arrives as a big request. It's "while you're in there…"
The goal isn't to say no. It's to make the change visible:
"Thanks for the idea. It's outside the current scope, so two options:
1) Add it now: [price], and launch moves to [date]
2) Keep the launch date and do it as a follow-up phase
I'll hold off on this piece until I hear which you prefer."
That last line matters most. Starting "just to be helpful" makes it very hard to charge for later.
Four templates (including the "quick favor"): [link]</t>
  </si>
  <si>
    <t xml:space="preserve">C-V13</t>
  </si>
  <si>
    <t xml:space="preserve">AI proposals: the one rule</t>
  </si>
  <si>
    <t xml:space="preserve">Never let AI set your prices.</t>
  </si>
  <si>
    <t xml:space="preserve">/blog/write-a-proposal-with-ai/</t>
  </si>
  <si>
    <t xml:space="preserve">AI can draft proposals that don't sound generic, but it should never set your prices or promises. Seven-part structure + prompt at the link in bio.</t>
  </si>
  <si>
    <t xml:space="preserve">graphics/video_covers/C-V13.png</t>
  </si>
  <si>
    <t xml:space="preserve">C-P05</t>
  </si>
  <si>
    <t xml:space="preserve">Series: Getting Paid</t>
  </si>
  <si>
    <t xml:space="preserve">/category/getting-paid/</t>
  </si>
  <si>
    <t xml:space="preserve">This month's Getting Paid series, all free:
→ The 5-stage payment reminder schedule
→ Deposits, milestones and payment terms
→ What every invoice should include
→ Tracking invoices in a spreadsheet (tested formulas)
Start here: [link]</t>
  </si>
  <si>
    <t xml:space="preserve">graphics/promo_cards/C-P05.png</t>
  </si>
  <si>
    <t xml:space="preserve">C-V14</t>
  </si>
  <si>
    <t xml:space="preserve">Starter kit walkthrough</t>
  </si>
  <si>
    <t xml:space="preserve">Ten prompts for the admin you do every week, free.</t>
  </si>
  <si>
    <t xml:space="preserve">The free Client Admin Starter Kit: 10 AI prompts for the admin you do every week + a printable 30-minute weekly review checklist. Link in bio.</t>
  </si>
  <si>
    <t xml:space="preserve">graphics/video_covers/C-V14.png</t>
  </si>
  <si>
    <t xml:space="preserve">C-E08</t>
  </si>
  <si>
    <t xml:space="preserve">What every invoice needs</t>
  </si>
  <si>
    <t xml:space="preserve">/blog/what-to-include-on-an-invoice/</t>
  </si>
  <si>
    <t xml:space="preserve">Remove every reason for your invoice to be set aside. Full checklist, plus the UK government's list as an example baseline, at the link in bio.</t>
  </si>
  <si>
    <t xml:space="preserve">graphics/carousels/C-E08_01.png</t>
  </si>
  <si>
    <t xml:space="preserve">C-V15</t>
  </si>
  <si>
    <t xml:space="preserve">Invoice details that prevent late payment</t>
  </si>
  <si>
    <t xml:space="preserve">Late payments often start with the invoice itself.</t>
  </si>
  <si>
    <t xml:space="preserve">Remove every reason for your invoice to be set aside: clear description, real due date, easy payment, right recipient. Full checklist (and where to check your country's rules) at the link in bio.</t>
  </si>
  <si>
    <t xml:space="preserve">graphics/video_covers/C-V15.png</t>
  </si>
  <si>
    <t xml:space="preserve">C-P06</t>
  </si>
  <si>
    <t xml:space="preserve">AI, Done Right series</t>
  </si>
  <si>
    <t xml:space="preserve">/category/ai-done-right/</t>
  </si>
  <si>
    <t xml:space="preserve">Using AI for client work without the generic emails or the privacy worries. Four free guides:
→ Keep client data private (ChatGPT, Claude, Gemini settings)
→ The one-page AI business brief
→ Make AI drafts sound like you
→ 12 client-email prompts with guardrails
[link]</t>
  </si>
  <si>
    <t xml:space="preserve">graphics/promo_cards/C-P06.png</t>
  </si>
  <si>
    <t xml:space="preserve">C-V16</t>
  </si>
  <si>
    <t xml:space="preserve">SOPs for a one-person business</t>
  </si>
  <si>
    <t xml:space="preserve">SOPs aren't just for companies with an operations team.</t>
  </si>
  <si>
    <t xml:space="preserve">/blog/sop-template-one-person-business/</t>
  </si>
  <si>
    <t xml:space="preserve">A one-page SOP template for solo businesses, plus the AI prompt that turns rough notes into a finished SOP (and flags gaps instead of inventing steps). Link in bio.</t>
  </si>
  <si>
    <t xml:space="preserve">graphics/video_covers/C-V16.png</t>
  </si>
  <si>
    <t xml:space="preserve">C-E09</t>
  </si>
  <si>
    <t xml:space="preserve">Voice profile</t>
  </si>
  <si>
    <t xml:space="preserve">"I hope this email finds you well."
"I'm thrilled to…"
"Please don't hesitate to reach out."
Clients can spot AI emails from the first line.
A voice profile fixes most of it. Paste 3–5 emails you actually wrote (names removed) and ask the AI to describe:
• typical sentence length
• greeting and sign-off habits
• formality (1–5)
• things you never do
• how you deliver bad news
• 3 "do this / not that" examples
Key instruction: "Don't invent traits that aren't in the samples."
Prompt + example: [link]</t>
  </si>
  <si>
    <t xml:space="preserve">C-V17</t>
  </si>
  <si>
    <t xml:space="preserve">Make vs Zapier vs n8n in 45 seconds</t>
  </si>
  <si>
    <t xml:space="preserve">Make, Zapier or n8n? Here's the honest short version.</t>
  </si>
  <si>
    <t xml:space="preserve">/blog/make-vs-zapier-vs-n8n/</t>
  </si>
  <si>
    <t xml:space="preserve">Make vs Zapier vs n8n for freelancers: simplest start, best budget multi-step, most control. Researched from official pricing pages (checked Sept 2026), not hands-on tested. Full comparison at the link in bio.</t>
  </si>
  <si>
    <t xml:space="preserve">#nocode #automation #smallbusinesstools #freelancetools #solopreneur</t>
  </si>
  <si>
    <t xml:space="preserve">graphics/video_covers/C-V17.png</t>
  </si>
  <si>
    <t xml:space="preserve">C-V18</t>
  </si>
  <si>
    <t xml:space="preserve">A prompt that says [NEED INFO]</t>
  </si>
  <si>
    <t xml:space="preserve">The most useful words in any AI prompt: 'write NEED INFO instead of guessing'.</t>
  </si>
  <si>
    <t xml:space="preserve">/blog/ai-prompts-for-client-emails/</t>
  </si>
  <si>
    <t xml:space="preserve">One line that stops AI inventing details in client emails: "write [NEED INFO] instead of guessing." 12 client-email prompts with guardrails at the link in bio.</t>
  </si>
  <si>
    <t xml:space="preserve">graphics/video_covers/C-V18.png</t>
  </si>
  <si>
    <t xml:space="preserve">C-E10</t>
  </si>
  <si>
    <t xml:space="preserve">The 45-minute weekly admin review</t>
  </si>
  <si>
    <t xml:space="preserve">Give admin one appointment a week and it stops leaking into every day. Agenda + an AI prompt that pre-sorts it at the link in bio.</t>
  </si>
  <si>
    <t xml:space="preserve">graphics/carousels/C-E10_01.png</t>
  </si>
  <si>
    <t xml:space="preserve">C-V19</t>
  </si>
  <si>
    <t xml:space="preserve">Free newsletter tools: what actually differs</t>
  </si>
  <si>
    <t xml:space="preserve">If you want a free welcome email sequence, the free plans differ a lot.</t>
  </si>
  <si>
    <t xml:space="preserve">/blog/mailerlite-vs-kit-vs-beehiiv/</t>
  </si>
  <si>
    <t xml:space="preserve">MailerLite vs Kit vs beehiiv for a service business newsletter: the free-plan difference that matters is automation. Researched from official pricing pages (Sept 2026). Link in bio.</t>
  </si>
  <si>
    <t xml:space="preserve">graphics/video_covers/C-V19.png</t>
  </si>
  <si>
    <t xml:space="preserve">C-P07</t>
  </si>
  <si>
    <t xml:space="preserve">Save this: prompt guardrails</t>
  </si>
  <si>
    <t xml:space="preserve">Save this post: 4 guardrail lines for any AI assistant used for client work → never invent prices/dates/facts · write [NEED INFO] instead of guessing · under 200 words · ask one question if unclear. 12 prompts built on them at the link in bio.</t>
  </si>
  <si>
    <t xml:space="preserve">graphics/promo_cards/C-P07.png</t>
  </si>
  <si>
    <t xml:space="preserve">C-V20</t>
  </si>
  <si>
    <t xml:space="preserve">The kickoff summary email</t>
  </si>
  <si>
    <t xml:space="preserve">The email you send after the kickoff call saves more arguments than any contract clause.</t>
  </si>
  <si>
    <t xml:space="preserve">The kickoff summary email: same day, five parts, and your written answer to questions that come up in week six. Part of the onboarding checklist at the link in bio.</t>
  </si>
  <si>
    <t xml:space="preserve">graphics/video_covers/C-V20.png</t>
  </si>
  <si>
    <t xml:space="preserve">C-E11</t>
  </si>
  <si>
    <t xml:space="preserve">Deposits and milestones</t>
  </si>
  <si>
    <t xml:space="preserve">Payment problems are usually decided before the project starts.
Three decisions to make once and put in every proposal:
1. Deposit: "Work starts once the deposit has cleared." (Then stick to it.)
2. Milestones clients can see: "design approved", not "50% complete"
3. Terms with a real date on every invoice: "Due 14 October", not just "Net 14"
Why: in Bonsai's data, invoices over $20,000 were 3× more likely to be late than invoices under $100. Smaller, earlier payments mean less at risk at any moment.
Wording + a full example (general info, not legal advice): [link]</t>
  </si>
  <si>
    <t xml:space="preserve">C-V21</t>
  </si>
  <si>
    <t xml:space="preserve">Tested vs researched: why we label</t>
  </si>
  <si>
    <t xml:space="preserve">When you read a tool review, ask one question: did they actually use it?</t>
  </si>
  <si>
    <t xml:space="preserve">Did the reviewer actually use the tool? Our tool articles are always labeled Tested or Researched, with dates. Why we do it: editorial policy at the link in bio.</t>
  </si>
  <si>
    <t xml:space="preserve">graphics/video_covers/C-V21.png</t>
  </si>
  <si>
    <t xml:space="preserve">C-P08</t>
  </si>
  <si>
    <t xml:space="preserve">Honest tool comparisons</t>
  </si>
  <si>
    <t xml:space="preserve">/category/tools-honestly/</t>
  </si>
  <si>
    <t xml:space="preserve">Tools, Honestly: researched comparisons for solo service businesses, with free-plan limits checked on official pricing pages (Sept 2026):
→ Make vs Zapier vs n8n
→ MailerLite vs Kit vs beehiiv
→ Tally vs Google Forms vs Jotform
→ Spreadsheet vs Notion vs CRM
No affiliate links. [link]</t>
  </si>
  <si>
    <t xml:space="preserve">graphics/promo_cards/C-P08.png</t>
  </si>
  <si>
    <t xml:space="preserve">C-V22</t>
  </si>
  <si>
    <t xml:space="preserve">One tool per job</t>
  </si>
  <si>
    <t xml:space="preserve">Two tools for the same job is worse than one simple one.</t>
  </si>
  <si>
    <t xml:space="preserve">/blog/minimum-tool-stack/</t>
  </si>
  <si>
    <t xml:space="preserve">The minimum tool stack for a solo service business: eight jobs, one tool each, mostly free to start (free-plan limits checked on official pricing pages). Link in bio.</t>
  </si>
  <si>
    <t xml:space="preserve">graphics/video_covers/C-V22.png</t>
  </si>
  <si>
    <t xml:space="preserve">C-E12</t>
  </si>
  <si>
    <t xml:space="preserve">SOP template for solo businesses</t>
  </si>
  <si>
    <t xml:space="preserve">SOPs aren't just for teams. When you work alone, you're the one who has to remember everything. Template + AI prompt at the link in bio.</t>
  </si>
  <si>
    <t xml:space="preserve">graphics/carousels/C-E12_01.png</t>
  </si>
  <si>
    <t xml:space="preserve">C-V23</t>
  </si>
  <si>
    <t xml:space="preserve">Stage D: ask for a date</t>
  </si>
  <si>
    <t xml:space="preserve">Fourteen days late? Stop asking 'when'. Ask for a date.</t>
  </si>
  <si>
    <t xml:space="preserve">At 14 days overdue, the key move is getting a payment date in writing. The exact wording (and the other four stages) at the link in bio.</t>
  </si>
  <si>
    <t xml:space="preserve">graphics/video_covers/C-V23.png</t>
  </si>
  <si>
    <t xml:space="preserve">C-V24</t>
  </si>
  <si>
    <t xml:space="preserve">Intake forms: keep it to 7 fields</t>
  </si>
  <si>
    <t xml:space="preserve">Every extra required field on your inquiry form is a reason not to submit.</t>
  </si>
  <si>
    <t xml:space="preserve">/blog/client-intake-form-tools/</t>
  </si>
  <si>
    <t xml:space="preserve">Your inquiry form needs 7 fields or fewer. The questions to ask (and a researched comparison of Tally, Google Forms and Jotform) at the link in bio.</t>
  </si>
  <si>
    <t xml:space="preserve">graphics/video_covers/C-V24.png</t>
  </si>
  <si>
    <t xml:space="preserve">C-E13</t>
  </si>
  <si>
    <t xml:space="preserve">Guardrail lines for AI prompts</t>
  </si>
  <si>
    <t xml:space="preserve">Four lines I'd add to every AI assistant used for client work:
1. "Never invent prices, dates or facts about clients."
2. "If information is missing, write [NEED INFO] instead of guessing."
3. "Keep client emails under 200 words unless I ask otherwise."
4. "If my request is ambiguous, ask one clarifying question."
Save them as custom instructions and they apply to every chat.
AI drafts, you decide. 12 client-email prompts built this way: [link]</t>
  </si>
  <si>
    <t xml:space="preserve">C-V25</t>
  </si>
  <si>
    <t xml:space="preserve">Temporary chats and privacy settings</t>
  </si>
  <si>
    <t xml:space="preserve">Turning off AI training is a good default. It doesn't mean nothing is stored.</t>
  </si>
  <si>
    <t xml:space="preserve">AI privacy settings are worth setting, but 'training off' isn't 'nothing stored'. What ChatGPT, Claude and Gemini's help pages say (checked Sept 2026), and why redaction comes first. Link in bio.</t>
  </si>
  <si>
    <t xml:space="preserve">graphics/video_covers/C-V25.png</t>
  </si>
  <si>
    <t xml:space="preserve">C-P09</t>
  </si>
  <si>
    <t xml:space="preserve">Ask me anything: admin systems</t>
  </si>
  <si>
    <t xml:space="preserve">/contact/</t>
  </si>
  <si>
    <t xml:space="preserve">What's the one admin task that eats most of your week as a solo business owner?
Reply in the comments. I'll turn the most common answers into next month's articles and templates (free).</t>
  </si>
  <si>
    <t xml:space="preserve">graphics/promo_cards/C-P09.png</t>
  </si>
  <si>
    <t xml:space="preserve">C-V26</t>
  </si>
  <si>
    <t xml:space="preserve">Spreadsheet, Notion or CRM?</t>
  </si>
  <si>
    <t xml:space="preserve">Where should a solo business track clients? The one that you'll open every week.</t>
  </si>
  <si>
    <t xml:space="preserve">/blog/spreadsheet-vs-notion-vs-crm/</t>
  </si>
  <si>
    <t xml:space="preserve">Spreadsheet, Notion or CRM for tracking clients? The honest trade-offs, and the one habit that matters more than the tool. Link in bio.</t>
  </si>
  <si>
    <t xml:space="preserve">graphics/video_covers/C-V26.png</t>
  </si>
  <si>
    <t xml:space="preserve">C-E14</t>
  </si>
  <si>
    <t xml:space="preserve">Inquiry form: 7 fields</t>
  </si>
  <si>
    <t xml:space="preserve">Every extra required field is a reason not to submit. The questions to ask, plus a researched comparison of Tally, Google Forms and Jotform, at the link in bio.</t>
  </si>
  <si>
    <t xml:space="preserve">graphics/carousels/C-E14_01.png</t>
  </si>
  <si>
    <t xml:space="preserve">C-V27</t>
  </si>
  <si>
    <t xml:space="preserve">How to report a delay</t>
  </si>
  <si>
    <t xml:space="preserve">How to tell a client about a delay without a wall of apologies.</t>
  </si>
  <si>
    <t xml:space="preserve">Delays happen. Here's how to report one: state it, one line of why, the new date, and a choice if there is one. More in the weekly client update guide (link in bio).</t>
  </si>
  <si>
    <t xml:space="preserve">graphics/video_covers/C-V27.png</t>
  </si>
  <si>
    <t xml:space="preserve">C-V28</t>
  </si>
  <si>
    <t xml:space="preserve">Testimonial request that asks permission</t>
  </si>
  <si>
    <t xml:space="preserve">The right way to ask for a testimonial, and the one thing never to do.</t>
  </si>
  <si>
    <t xml:space="preserve">Ask for testimonials the right way: three optional questions, clear permission, client approves the final wording. Never write one for them. Prompt at the link in bio.</t>
  </si>
  <si>
    <t xml:space="preserve">graphics/video_covers/C-V28.png</t>
  </si>
  <si>
    <t xml:space="preserve">C-E15</t>
  </si>
  <si>
    <t xml:space="preserve">Four numbers to track</t>
  </si>
  <si>
    <t xml:space="preserve">You don't need a dashboard to know if your admin system works. Four numbers, once a month:
1. Hours on admin (a rough estimate is fine)
2. Overdue invoices (count and total)
3. Average time to first reply on new inquiries
4. Proposals sent vs accepted
Watch them for 2–3 months. Measure, don't assume, including anything we tell you.
The weekly review that feeds them: [link]</t>
  </si>
  <si>
    <t xml:space="preserve">C-V29</t>
  </si>
  <si>
    <t xml:space="preserve">Track four numbers</t>
  </si>
  <si>
    <t xml:space="preserve">You don't need a dashboard. You need four numbers once a month.</t>
  </si>
  <si>
    <t xml:space="preserve">Four numbers, once a month: admin hours, overdue invoices, time to first reply, proposals sent vs accepted. Measure your system; don't take anyone's word for it. Link in bio.</t>
  </si>
  <si>
    <t xml:space="preserve">graphics/video_covers/C-V29.png</t>
  </si>
  <si>
    <t xml:space="preserve">C-P10</t>
  </si>
  <si>
    <t xml:space="preserve">Month recap + starter kit</t>
  </si>
  <si>
    <t xml:space="preserve">30 days, 20 free guides for the admin side of a one-person business: onboarding, proposals, weekly updates, getting paid, AI privacy, SOPs and honest tool comparisons.
If you only take one thing: book a 45-minute weekly admin review, starting this week.
Free starter kit (10 prompts + checklist): [link]</t>
  </si>
  <si>
    <t xml:space="preserve">graphics/promo_cards/C-P10.png</t>
  </si>
  <si>
    <t xml:space="preserve">C-V30</t>
  </si>
  <si>
    <t xml:space="preserve">Month recap + where to start</t>
  </si>
  <si>
    <t xml:space="preserve">Thirty days of admin systems. If you only do one thing, do this.</t>
  </si>
  <si>
    <t xml:space="preserve">30 days of admin systems for businesses of one. If you only do one thing: book a 45-minute weekly admin review. Everything from this month + the free starter kit at the link in bio.</t>
  </si>
  <si>
    <t xml:space="preserve">graphics/video_covers/C-V30.png</t>
  </si>
  <si>
    <t xml:space="preserve">Month 2: Product launch</t>
  </si>
  <si>
    <t xml:space="preserve">P-E01</t>
  </si>
  <si>
    <t xml:space="preserve">Why prompt packs disappoint</t>
  </si>
  <si>
    <t xml:space="preserve">Why do big prompt packs disappoint?
Because a one-line prompt can't know:
→ what you're asking it to do (objective)
→ when it applies (use case)
→ what you'll paste in (inputs)
→ what "good" looks like (output format)
→ what it must never do (guardrails)
A useful prompt specifies all five. It's longer, but you use it again and again.
I'm launching a 100-prompt library built this way next week. Here's one of them for free, the business brief builder: [link to starter kit]</t>
  </si>
  <si>
    <t xml:space="preserve">P-V01</t>
  </si>
  <si>
    <t xml:space="preserve">Behind the build: why a system, not a prompt pack</t>
  </si>
  <si>
    <t xml:space="preserve">I could have made a 10,000-prompt pack. Here's why I didn't.</t>
  </si>
  <si>
    <t xml:space="preserve">/bundle/</t>
  </si>
  <si>
    <t xml:space="preserve">Why the Band of One products are a system, not a 10,000-prompt pack. Launching next week. I'll show you what's inside every day until then.</t>
  </si>
  <si>
    <t xml:space="preserve">graphics/video_covers/P-V01.png</t>
  </si>
  <si>
    <t xml:space="preserve">P-E02</t>
  </si>
  <si>
    <t xml:space="preserve">Anatomy of a prompt card</t>
  </si>
  <si>
    <t xml:space="preserve">Every prompt in The Band of One Prompt Library follows this format. The library launches next week; 10 prompts are free in the starter kit now (link in bio).</t>
  </si>
  <si>
    <t xml:space="preserve">graphics/carousels/P-E02_01.png</t>
  </si>
  <si>
    <t xml:space="preserve">P-V02</t>
  </si>
  <si>
    <t xml:space="preserve">The Client Desk dashboard tour</t>
  </si>
  <si>
    <t xml:space="preserve">This is what my Monday morning admin check looks like: one screen.</t>
  </si>
  <si>
    <t xml:space="preserve">A tour of The Client Desk dashboard (fictional sample data): next actions, invoices needing a reminder, pipeline, weekly numbers. Excel + Google Sheets, no macros. Launching next week.</t>
  </si>
  <si>
    <t xml:space="preserve">graphics/video_covers/P-V02.png</t>
  </si>
  <si>
    <t xml:space="preserve">P-E03</t>
  </si>
  <si>
    <t xml:space="preserve">The one-screen admin check</t>
  </si>
  <si>
    <t xml:space="preserve">A solo business needs one screen that answers:
1. Who needs a follow-up this week?
2. Which invoices need a reminder, and which one?
3. What's in the pipeline, by stage?
4. How did this week go?
You can build this in any spreadsheet with a few formulas (our free invoice tracker shows how).
The Client Desk, launching next week, has it built and tested: a Dashboard tab calculated from your client, project and invoice tabs. It works in Excel and Google Sheets, with no macros.</t>
  </si>
  <si>
    <t xml:space="preserve">P-V03</t>
  </si>
  <si>
    <t xml:space="preserve">Anatomy of one prompt card</t>
  </si>
  <si>
    <t xml:space="preserve">Here's what a fully specified AI prompt looks like.</t>
  </si>
  <si>
    <t xml:space="preserve">Anatomy of a prompt card from The Band of One Prompt Library: objective, when to use, inputs, guardrails, output format. That's one of 100. Launching next week.</t>
  </si>
  <si>
    <t xml:space="preserve">graphics/video_covers/P-V03.png</t>
  </si>
  <si>
    <t xml:space="preserve">P-E04</t>
  </si>
  <si>
    <t xml:space="preserve">The admin audit in 5 steps</t>
  </si>
  <si>
    <t xml:space="preserve">This is Chapter 2 of The Solo Admin Playbook. You can do it on paper today for free.</t>
  </si>
  <si>
    <t xml:space="preserve">graphics/carousels/P-E04_01.png</t>
  </si>
  <si>
    <t xml:space="preserve">P-V04</t>
  </si>
  <si>
    <t xml:space="preserve">The admin audit worksheet</t>
  </si>
  <si>
    <t xml:space="preserve">Before you fix your admin, find out where the time actually goes.</t>
  </si>
  <si>
    <t xml:space="preserve">The admin audit from Chapter 2 of The Solo Admin Playbook. Score your tasks and fix the biggest one first. You can do it for free today; the formula's in the video.</t>
  </si>
  <si>
    <t xml:space="preserve">graphics/video_covers/P-V04.png</t>
  </si>
  <si>
    <t xml:space="preserve">P-V05</t>
  </si>
  <si>
    <t xml:space="preserve">Reminder stages in the spreadsheet</t>
  </si>
  <si>
    <t xml:space="preserve">My spreadsheet tells me which payment reminder to send. Here's how.</t>
  </si>
  <si>
    <t xml:space="preserve">How The Client Desk works out which payment reminder is due (A–E) and whether you've sent it. Formulas tested before release; timing adjustable in Settings. Launching next week.</t>
  </si>
  <si>
    <t xml:space="preserve">graphics/video_covers/P-V05.png</t>
  </si>
  <si>
    <t xml:space="preserve">P-E05</t>
  </si>
  <si>
    <t xml:space="preserve">Five decisions for every admin task</t>
  </si>
  <si>
    <t xml:space="preserve">Every recurring admin task gets one of five decisions:
ELIMINATE: nobody would notice if you stopped
TEMPLATE: it's nearly identical every time
AI DRAFT: the structure repeats, the content changes
AUTOMATE: rule-based, frequent, low-risk and already templated
KEEP HUMAN: high risk, high judgment or relationship-critical
Notice automation comes after templating. If you can't write it as a checklist, you're not ready to automate it.
(From The Solo Admin Playbook, Chapter 2.)</t>
  </si>
  <si>
    <t xml:space="preserve">P-V06</t>
  </si>
  <si>
    <t xml:space="preserve">3 free prompts from the library</t>
  </si>
  <si>
    <t xml:space="preserve">Three prompts from the library you can use today, free.</t>
  </si>
  <si>
    <t xml:space="preserve">Three prompts from The Band of One Prompt Library you can use free today: business brief builder, new-inquiry reply, call notes → summary. All in the free starter kit (link in bio).</t>
  </si>
  <si>
    <t xml:space="preserve">graphics/video_covers/P-V06.png</t>
  </si>
  <si>
    <t xml:space="preserve">P-P01</t>
  </si>
  <si>
    <t xml:space="preserve">Launching tomorrow</t>
  </si>
  <si>
    <t xml:space="preserve">Tomorrow: the Band of One products go on sale.
• The Solo Admin Playbook: $24
• The Client Desk: $29
• The Band of One Prompt Library: $19
• All three (Complete Bundle): $49
Launch code FOUNDING takes $10 off the bundle ($5 off the playbook or desk, $4 off the library) until [LAUNCH END DATE]. 14-day refund policy.</t>
  </si>
  <si>
    <t xml:space="preserve">graphics/promo_cards/P-P01.png</t>
  </si>
  <si>
    <t xml:space="preserve">P-V07</t>
  </si>
  <si>
    <t xml:space="preserve">Launch tomorrow: what, price, how</t>
  </si>
  <si>
    <t xml:space="preserve">Tomorrow the Band of One products go on sale. Here's exactly what they cost.</t>
  </si>
  <si>
    <t xml:space="preserve">Launching tomorrow: The Solo Admin Playbook ($24), The Client Desk ($29), The Prompt Library ($19) or all three for $49. Code FOUNDING until [LAUNCH END DATE]. 14-day refund policy.</t>
  </si>
  <si>
    <t xml:space="preserve">graphics/video_covers/P-V07.png</t>
  </si>
  <si>
    <t xml:space="preserve">P-P02</t>
  </si>
  <si>
    <t xml:space="preserve">It's live</t>
  </si>
  <si>
    <t xml:space="preserve">It's live.
The Band of One Complete Bundle: the playbook (how), The Client Desk (where) and 100 prompts (what to say), built as one admin system for a business of one.
$49 ($72 separately). Code FOUNDING until [LAUNCH END DATE]. 14-day refund policy.
[STORE LINK]</t>
  </si>
  <si>
    <t xml:space="preserve">graphics/promo_cards/P-P02.png</t>
  </si>
  <si>
    <t xml:space="preserve">P-V08</t>
  </si>
  <si>
    <t xml:space="preserve">The Band of One bundle is live.</t>
  </si>
  <si>
    <t xml:space="preserve">It's live: The Band of One Complete Bundle, with the playbook, The Client Desk workbook and the 100-prompt library, built to work together. Code FOUNDING until [LAUNCH END DATE].</t>
  </si>
  <si>
    <t xml:space="preserve">graphics/video_covers/P-V08.png</t>
  </si>
  <si>
    <t xml:space="preserve">P-E06</t>
  </si>
  <si>
    <t xml:space="preserve">What AI is good and bad at (client work)</t>
  </si>
  <si>
    <t xml:space="preserve">From Chapter 3 of The Solo Admin Playbook: using AI safely with client work.</t>
  </si>
  <si>
    <t xml:space="preserve">graphics/carousels/P-E06_01.png</t>
  </si>
  <si>
    <t xml:space="preserve">P-V09</t>
  </si>
  <si>
    <t xml:space="preserve">Inside the playbook in 45 seconds</t>
  </si>
  <si>
    <t xml:space="preserve">Thirty-eight pages, flipped through in forty-five seconds.</t>
  </si>
  <si>
    <t xml:space="preserve">The Solo Admin Playbook in 45 seconds: admin audit, safe AI setup, six client workflows with templates and prompts, SOPs and the weekly review. PDF + editable DOCX.</t>
  </si>
  <si>
    <t xml:space="preserve">graphics/video_covers/P-V09.png</t>
  </si>
  <si>
    <t xml:space="preserve">P-P03</t>
  </si>
  <si>
    <t xml:space="preserve">Prompt Library spotlight</t>
  </si>
  <si>
    <t xml:space="preserve">100 prompts, each doing one job: objective, inputs, guardrails, output format. PDF + searchable spreadsheet + Notion-ready CSV. $19 (code FOUNDING until [LAUNCH END DATE]). Link in bio.</t>
  </si>
  <si>
    <t xml:space="preserve">graphics/promo_cards/P-P03.png</t>
  </si>
  <si>
    <t xml:space="preserve">P-V10</t>
  </si>
  <si>
    <t xml:space="preserve">Search the library by keyword</t>
  </si>
  <si>
    <t xml:space="preserve">I typed 'scope' and found the right prompt in two seconds.</t>
  </si>
  <si>
    <t xml:space="preserve">The Prompt Library's spreadsheet version has a Search tab: type 'scope', 'invoice' or 'delay' and get the matching prompts. Plus favorites, notes and a Notion-ready CSV.</t>
  </si>
  <si>
    <t xml:space="preserve">graphics/video_covers/P-V10.png</t>
  </si>
  <si>
    <t xml:space="preserve">P-E07</t>
  </si>
  <si>
    <t xml:space="preserve">Prompt: responding to a discount request</t>
  </si>
  <si>
    <t xml:space="preserve">"Can you do it cheaper?"
A prompt for replying without an apology spiral:
"A client asked for a lower price: [REQUEST]. Draft a reply that acknowledges their budget, restates the value tied to their goals, and offers these options only: [MY OPTIONS]. If I've chosen not to reduce the price, say so kindly and clearly. Under 150 words, confident, no apology spiral, in my voice [VOICE PROFILE]."
You decide the options (smaller scope? phased start?). The AI only handles the wording.
(HARD-01, from the Tough Conversations section of The Band of One Prompt Library.)</t>
  </si>
  <si>
    <t xml:space="preserve">P-V11</t>
  </si>
  <si>
    <t xml:space="preserve">Setting up The Client Desk in 10 minutes</t>
  </si>
  <si>
    <t xml:space="preserve">From download to your first client in about ten minutes.</t>
  </si>
  <si>
    <t xml:space="preserve">Setting up The Client Desk: open, fill in Settings, clear the sample rows, add a client. About ten minutes, and there's a 13-page user guide if you get stuck.</t>
  </si>
  <si>
    <t xml:space="preserve">graphics/video_covers/P-V11.png</t>
  </si>
  <si>
    <t xml:space="preserve">P-P04</t>
  </si>
  <si>
    <t xml:space="preserve">Client Desk spotlight</t>
  </si>
  <si>
    <t xml:space="preserve">The Client Desk: one spreadsheet for clients, projects, invoices and payment reminders, with a dashboard of what needs attention this week.
✓ Excel, Google Sheets, LibreOffice (no macros)
✓ Reminder stages A–E calculated for every invoice
✓ Formulas tested before release
✓ Sample business + 13-page guide
$29 (code FOUNDING until [LAUNCH END DATE]). [STORE LINK]</t>
  </si>
  <si>
    <t xml:space="preserve">graphics/promo_cards/P-P04.png</t>
  </si>
  <si>
    <t xml:space="preserve">P-V12</t>
  </si>
  <si>
    <t xml:space="preserve">Prompt demo: discount request</t>
  </si>
  <si>
    <t xml:space="preserve">A client asks, 'Can you do it cheaper?' Here's the prompt I use.</t>
  </si>
  <si>
    <t xml:space="preserve">'Can you do it cheaper?' Prompt HARD-01 drafts a confident reply that offers only the options you choose. From the Tough Conversations section of The Band of One Prompt Library.</t>
  </si>
  <si>
    <t xml:space="preserve">graphics/video_covers/P-V12.png</t>
  </si>
  <si>
    <t xml:space="preserve">P-E08</t>
  </si>
  <si>
    <t xml:space="preserve">One system, three tools</t>
  </si>
  <si>
    <t xml:space="preserve">Designed as one system. Buy one or all three. Details at the link in bio.</t>
  </si>
  <si>
    <t xml:space="preserve">graphics/carousels/P-E08_01.png</t>
  </si>
  <si>
    <t xml:space="preserve">P-V13</t>
  </si>
  <si>
    <t xml:space="preserve">How the three connect</t>
  </si>
  <si>
    <t xml:space="preserve">Why these three products share the same IDs.</t>
  </si>
  <si>
    <t xml:space="preserve">The playbook, The Client Desk and the Prompt Library share prompt IDs, reminder stages and the weekly review. One system, not three random downloads.</t>
  </si>
  <si>
    <t xml:space="preserve">graphics/video_covers/P-V13.png</t>
  </si>
  <si>
    <t xml:space="preserve">P-P05</t>
  </si>
  <si>
    <t xml:space="preserve">Playbook spotlight</t>
  </si>
  <si>
    <t xml:space="preserve">The Solo Admin Playbook: 38 pages, 6 client workflows, worksheets, templates and 17 prompts. PDF + editable DOCX. $24 (code FOUNDING until [LAUNCH END DATE]). Link in bio.</t>
  </si>
  <si>
    <t xml:space="preserve">graphics/promo_cards/P-P05.png</t>
  </si>
  <si>
    <t xml:space="preserve">P-V14</t>
  </si>
  <si>
    <t xml:space="preserve">Safe AI setup chapter</t>
  </si>
  <si>
    <t xml:space="preserve">The chapter I'd make every freelancer read before using AI with clients.</t>
  </si>
  <si>
    <t xml:space="preserve">Chapter 3 of The Solo Admin Playbook: using AI safely with client work. What it's good and bad at, the redaction habit, and the settings to check. AI drafts; you decide.</t>
  </si>
  <si>
    <t xml:space="preserve">graphics/video_covers/P-V14.png</t>
  </si>
  <si>
    <t xml:space="preserve">P-E09</t>
  </si>
  <si>
    <t xml:space="preserve">Reminder stages you can steal</t>
  </si>
  <si>
    <t xml:space="preserve">The payment reminder stages built into The Client Desk (and free to steal):
A: 3 days before due: heads-up
B: due date: reminder
C: +7: "anything holding it up?"
D: +14: ask for a payment date in writing
E: +30: final notice (only consequences in your agreement)
The spreadsheet works out which stage each invoice is at and whether you've sent it. You can change the timing in Settings.
Templates for every stage are free on the blog: [link]</t>
  </si>
  <si>
    <t xml:space="preserve">P-V15</t>
  </si>
  <si>
    <t xml:space="preserve">Admin Audit tab</t>
  </si>
  <si>
    <t xml:space="preserve">The spreadsheet ranks your admin tasks for you.</t>
  </si>
  <si>
    <t xml:space="preserve">The Admin Audit tab in The Client Desk scores and ranks your recurring admin tasks, then you choose: eliminate, template, AI draft, automate or keep human.</t>
  </si>
  <si>
    <t xml:space="preserve">graphics/video_covers/P-V15.png</t>
  </si>
  <si>
    <t xml:space="preserve">P-P06</t>
  </si>
  <si>
    <t xml:space="preserve">Who it's for / not for</t>
  </si>
  <si>
    <t xml:space="preserve">The Band of One bundle IS for you if you run a one-person service business and handle your own inquiries, proposals and invoices.
It's NOT for you if you need a multi-user CRM, legal or tax advice, or prompts for images and code.
Honest fit beats a refund. Details: [STORE LINK]</t>
  </si>
  <si>
    <t xml:space="preserve">graphics/promo_cards/P-P06.png</t>
  </si>
  <si>
    <t xml:space="preserve">P-V16</t>
  </si>
  <si>
    <t xml:space="preserve">Who it's NOT for</t>
  </si>
  <si>
    <t xml:space="preserve">Who shouldn't buy this.</t>
  </si>
  <si>
    <t xml:space="preserve">Who the Band of One bundle is NOT for: teams needing a full CRM, anyone after legal/tax advice, or people looking for image/code prompts. Who it IS for: solo service businesses that want one simple admin system.</t>
  </si>
  <si>
    <t xml:space="preserve">graphics/video_covers/P-V16.png</t>
  </si>
  <si>
    <t xml:space="preserve">P-E10</t>
  </si>
  <si>
    <t xml:space="preserve">The delay email, structured</t>
  </si>
  <si>
    <t xml:space="preserve">The structure behind prompt DEL-02 in The Band of One Prompt Library.</t>
  </si>
  <si>
    <t xml:space="preserve">graphics/carousels/P-E10_01.png</t>
  </si>
  <si>
    <t xml:space="preserve">P-V17</t>
  </si>
  <si>
    <t xml:space="preserve">Prompt demo: delay notification</t>
  </si>
  <si>
    <t xml:space="preserve">The hardest client email to write, drafted in thirty seconds.</t>
  </si>
  <si>
    <t xml:space="preserve">Prompt DEL-02 drafts the hardest client email (the delay) with the news first, one line of context, the plan and the impact. From The Band of One Prompt Library. You still read it before sending.</t>
  </si>
  <si>
    <t xml:space="preserve">graphics/video_covers/P-V17.png</t>
  </si>
  <si>
    <t xml:space="preserve">P-V18</t>
  </si>
  <si>
    <t xml:space="preserve">Your next seven days</t>
  </si>
  <si>
    <t xml:space="preserve">The last chapter of the playbook is a seven-day plan. Here it is.</t>
  </si>
  <si>
    <t xml:space="preserve">The Solo Admin Playbook ends with a 7-day plan: one small step a day, from the admin audit to your first weekly review.</t>
  </si>
  <si>
    <t xml:space="preserve">graphics/video_covers/P-V18.png</t>
  </si>
  <si>
    <t xml:space="preserve">P-E11</t>
  </si>
  <si>
    <t xml:space="preserve">7 days to an admin system</t>
  </si>
  <si>
    <t xml:space="preserve">A 7-day plan for an admin system (from the last chapter of The Solo Admin Playbook):
Day 1: Admin audit → your top three tasks to fix
Day 2: Privacy settings, business brief, voice profile
Day 3: Onboarding checklist + welcome email
Day 4: Weekly update template + meeting-summary prompt
Day 5: Payment terms + reminder templates
Day 6: Inquiry reply + proposal structure
Day 7: First SOP + first weekly review
One step a day. You can start today with just a spreadsheet and a free AI plan.</t>
  </si>
  <si>
    <t xml:space="preserve">P-P07</t>
  </si>
  <si>
    <t xml:space="preserve">FAQ post</t>
  </si>
  <si>
    <t xml:space="preserve">Before you buy:
Does The Client Desk work in Google Sheets? Yes.
Do I need a paid AI plan? No, free tiers work.
Is it legal or tax advice? No, it's communication templates and systems.
What if it isn't useful? Email within 14 days for a full refund.
Launch price until [LAUNCH END DATE]. [STORE LINK]</t>
  </si>
  <si>
    <t xml:space="preserve">graphics/promo_cards/P-P07.png</t>
  </si>
  <si>
    <t xml:space="preserve">P-V19</t>
  </si>
  <si>
    <t xml:space="preserve">FAQ: Google Sheets, AI plans, refunds</t>
  </si>
  <si>
    <t xml:space="preserve">The three questions people ask before buying.</t>
  </si>
  <si>
    <t xml:space="preserve">Pre-purchase FAQ: The Client Desk works in Google Sheets and Excel; the prompts work in free AI plans; 14-day refund if it isn't useful. Launch price until [LAUNCH END DATE].</t>
  </si>
  <si>
    <t xml:space="preserve">graphics/video_covers/P-V19.png</t>
  </si>
  <si>
    <t xml:space="preserve">P-P08</t>
  </si>
  <si>
    <t xml:space="preserve">Launch price ends tomorrow</t>
  </si>
  <si>
    <t xml:space="preserve">The launch code FOUNDING ends tomorrow, [LAUNCH END DATE]. After that, regular prices with no extension.
If it fits how you work, now's the cheapest it'll be. If not, the free guides and starter kit aren't going anywhere.
[STORE LINK]</t>
  </si>
  <si>
    <t xml:space="preserve">graphics/promo_cards/P-P08.png</t>
  </si>
  <si>
    <t xml:space="preserve">P-V20</t>
  </si>
  <si>
    <t xml:space="preserve">Last full day of launch price</t>
  </si>
  <si>
    <t xml:space="preserve">Tomorrow's the last day of the launch price.</t>
  </si>
  <si>
    <t xml:space="preserve">The launch price (code FOUNDING) ends on [LAUNCH END DATE]. After that it's the regular price, with no extension. If it isn't for you, the free articles and starter kit are still there.</t>
  </si>
  <si>
    <t xml:space="preserve">graphics/video_covers/P-V20.png</t>
  </si>
  <si>
    <t xml:space="preserve">P-P09</t>
  </si>
  <si>
    <t xml:space="preserve">Last day</t>
  </si>
  <si>
    <t xml:space="preserve">Last day of launch pricing: code FOUNDING ends tonight.
Thank you for following along this month. Tomorrow: back to free admin systems.
[STORE LINK]</t>
  </si>
  <si>
    <t xml:space="preserve">graphics/promo_cards/P-P09.png</t>
  </si>
  <si>
    <t xml:space="preserve">P-V21</t>
  </si>
  <si>
    <t xml:space="preserve">Final day</t>
  </si>
  <si>
    <t xml:space="preserve">Launch price ends tonight.</t>
  </si>
  <si>
    <t xml:space="preserve">Last day: code FOUNDING ends tonight ([LAUNCH END DATE]). Tomorrow we're back to free admin systems. Thanks for following the launch.</t>
  </si>
  <si>
    <t xml:space="preserve">graphics/video_covers/P-V21.png</t>
  </si>
  <si>
    <t xml:space="preserve">P-E12</t>
  </si>
  <si>
    <t xml:space="preserve">Offboarding checklist</t>
  </si>
  <si>
    <t xml:space="preserve">How you finish decides whether they come back and refer you. Workflow 6 of The Solo Admin Playbook.</t>
  </si>
  <si>
    <t xml:space="preserve">graphics/carousels/P-E12_01.png</t>
  </si>
  <si>
    <t xml:space="preserve">P-V22</t>
  </si>
  <si>
    <t xml:space="preserve">Prompt: testimonial request</t>
  </si>
  <si>
    <t xml:space="preserve">How to ask for a testimonial without making it awkward.</t>
  </si>
  <si>
    <t xml:space="preserve">Asking for testimonials without awkwardness: 3 optional questions, clear permission, client approves the wording. Prompt RET-02 is free in the starter kit (link in bio).</t>
  </si>
  <si>
    <t xml:space="preserve">graphics/video_covers/P-V22.png</t>
  </si>
  <si>
    <t xml:space="preserve">P-V23</t>
  </si>
  <si>
    <t xml:space="preserve">Spreadsheet tip: next action dates</t>
  </si>
  <si>
    <t xml:space="preserve">One column prevents most dropped balls in a solo business.</t>
  </si>
  <si>
    <t xml:space="preserve">The one column that prevents most dropped balls: next action date. Every client, every lead, reviewed weekly. Works in any spreadsheet.</t>
  </si>
  <si>
    <t xml:space="preserve">graphics/video_covers/P-V23.png</t>
  </si>
  <si>
    <t xml:space="preserve">P-E13</t>
  </si>
  <si>
    <t xml:space="preserve">Testimonials, honestly</t>
  </si>
  <si>
    <t xml:space="preserve">Three rules for testimonials:
1. Ask with specific, optional questions: situation before, working together, what changed.
2. Get permission to publish (name or anonymous, their choice) and let them approve the final wording.
3. Never write one for them, and never edit one in a way that changes its meaning.
In the U.S., the FTC's Endorsement Guides require endorsements to reflect the honest opinions of the endorser.
The request prompt (RET-02) is free in our starter kit: [link]</t>
  </si>
  <si>
    <t xml:space="preserve">P-V24</t>
  </si>
  <si>
    <t xml:space="preserve">How you end a project decides whether you get referred.</t>
  </si>
  <si>
    <t xml:space="preserve">The offboarding checklist: handover document, access changes, final invoice, thank-you, testimonial request (with permission), optional referral ask and a 90-day check-in. Workflow 6 in The Solo Admin Playbook.</t>
  </si>
  <si>
    <t xml:space="preserve">graphics/video_covers/P-V24.png</t>
  </si>
  <si>
    <t xml:space="preserve">P-V25</t>
  </si>
  <si>
    <t xml:space="preserve">Prompt: SOP from rough notes</t>
  </si>
  <si>
    <t xml:space="preserve">Turn rough notes into an SOP without the AI inventing steps.</t>
  </si>
  <si>
    <t xml:space="preserve">Prompt OPS-01 turns rough notes into an SOP and flags gaps with [CHECK] instead of inventing steps. The template is free in our SOP guide (link in bio).</t>
  </si>
  <si>
    <t xml:space="preserve">graphics/video_covers/P-V25.png</t>
  </si>
  <si>
    <t xml:space="preserve">P-E14</t>
  </si>
  <si>
    <t xml:space="preserve">The Weekly Review tab</t>
  </si>
  <si>
    <t xml:space="preserve">The Weekly Review tab in The Client Desk. Real numbers over a few weeks show whether your system works.</t>
  </si>
  <si>
    <t xml:space="preserve">graphics/carousels/P-E14_01.png</t>
  </si>
  <si>
    <t xml:space="preserve">P-V26</t>
  </si>
  <si>
    <t xml:space="preserve">Weekly Review tab</t>
  </si>
  <si>
    <t xml:space="preserve">My weekly admin review takes forty-five minutes because of this tab.</t>
  </si>
  <si>
    <t xml:space="preserve">The Weekly Review tab in The Client Desk: the 45-minute agenda, live numbers from your data, and a log that shows over time whether your system works.</t>
  </si>
  <si>
    <t xml:space="preserve">graphics/video_covers/P-V26.png</t>
  </si>
  <si>
    <t xml:space="preserve">P-P10</t>
  </si>
  <si>
    <t xml:space="preserve">Upgrade path</t>
  </si>
  <si>
    <t xml:space="preserve">Bought one Band of One product and now want the bundle? You don't pay twice. Reply to your receipt email and I'll send a code worth what you paid.</t>
  </si>
  <si>
    <t xml:space="preserve">graphics/promo_cards/P-P10.png</t>
  </si>
  <si>
    <t xml:space="preserve">P-V27</t>
  </si>
  <si>
    <t xml:space="preserve">Upgrade path for single-product buyers</t>
  </si>
  <si>
    <t xml:space="preserve">Bought one product and want the bundle? Here's how.</t>
  </si>
  <si>
    <t xml:space="preserve">Bought one Band of One product and want the bundle? Reply to your receipt email for a code worth what you paid. You don't pay twice.</t>
  </si>
  <si>
    <t xml:space="preserve">graphics/video_covers/P-V27.png</t>
  </si>
  <si>
    <t xml:space="preserve">P-E15</t>
  </si>
  <si>
    <t xml:space="preserve">Quarterly planning prompt</t>
  </si>
  <si>
    <t xml:space="preserve">A quarterly planning prompt for a one-person business:
"Facilitate a quarterly planning session. Last quarter: [RESULTS]. Capacity: [HOURS/WEEK]. Goals: [GOALS]. Ask me up to 5 clarifying questions first. Then propose: max 3 priorities, each with a measurable outcome, the first step and the weekly time it needs; what I should stop or pause; and a simple monthly checkpoint."
Fewer priorities, finished, beat many half-done.
(OPS-07, The Band of One Prompt Library.)</t>
  </si>
  <si>
    <t xml:space="preserve">P-V28</t>
  </si>
  <si>
    <t xml:space="preserve">Prompt: quarterly planning</t>
  </si>
  <si>
    <t xml:space="preserve">A quarterly plan for a one-person business, in one prompt.</t>
  </si>
  <si>
    <t xml:space="preserve">Prompt OPS-07 runs a quarterly planning session: clarifying questions first, then at most 3 priorities and a stop/pause list. From The Band of One Prompt Library.</t>
  </si>
  <si>
    <t xml:space="preserve">graphics/video_covers/P-V28.png</t>
  </si>
  <si>
    <t xml:space="preserve">P-V29</t>
  </si>
  <si>
    <t xml:space="preserve">What's next + feedback request</t>
  </si>
  <si>
    <t xml:space="preserve">What should Band of One build next? I'm asking.</t>
  </si>
  <si>
    <t xml:space="preserve">What should Band of One build next? If you've used the products: what's missing or confusing? If not: which admin task needs a system? Comment or email. Product updates are free for buyers.</t>
  </si>
  <si>
    <t xml:space="preserve">graphics/video_covers/P-V29.png</t>
  </si>
  <si>
    <t xml:space="preserve">P-V30</t>
  </si>
  <si>
    <t xml:space="preserve">Back to basics: the free starter kit</t>
  </si>
  <si>
    <t xml:space="preserve">If you're not ready for the full system, start here. It's free.</t>
  </si>
  <si>
    <t xml:space="preserve">Not ready for the full system? Start with the free Client Admin Starter Kit: 10 prompts + a 30-minute weekly review checklist. Link in bio.</t>
  </si>
  <si>
    <t xml:space="preserve">graphics/video_covers/P-V30.png</t>
  </si>
  <si>
    <t xml:space="preserve">Counts by type and status (formulas)</t>
  </si>
  <si>
    <t xml:space="preserve">Planned</t>
  </si>
  <si>
    <t xml:space="preserve">Posted</t>
  </si>
  <si>
    <t xml:space="preserve">Remaining</t>
  </si>
  <si>
    <t xml:space="preserve">Total</t>
  </si>
</sst>
</file>

<file path=xl/styles.xml><?xml version="1.0" encoding="utf-8"?>
<styleSheet xmlns="http://schemas.openxmlformats.org/spreadsheetml/2006/main">
  <numFmts count="3">
    <numFmt numFmtId="164" formatCode="General"/>
    <numFmt numFmtId="165" formatCode="yyyy\-mm\-dd"/>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A4A45"/>
      <name val="Arial"/>
      <family val="0"/>
      <charset val="1"/>
    </font>
    <font>
      <b val="true"/>
      <sz val="11"/>
      <name val="Arial"/>
      <family val="0"/>
      <charset val="1"/>
    </font>
    <font>
      <i val="true"/>
      <sz val="9"/>
      <color rgb="FF56606B"/>
      <name val="Arial"/>
      <family val="0"/>
      <charset val="1"/>
    </font>
    <font>
      <b val="true"/>
      <sz val="11"/>
      <color rgb="FFFFFFFF"/>
      <name val="Arial"/>
      <family val="0"/>
      <charset val="1"/>
    </font>
    <font>
      <sz val="9"/>
      <name val="Arial"/>
      <family val="0"/>
      <charset val="1"/>
    </font>
    <font>
      <b val="true"/>
      <sz val="12"/>
      <name val="Arial"/>
      <family val="0"/>
      <charset val="1"/>
    </font>
  </fonts>
  <fills count="4">
    <fill>
      <patternFill patternType="none"/>
    </fill>
    <fill>
      <patternFill patternType="gray125"/>
    </fill>
    <fill>
      <patternFill patternType="solid">
        <fgColor rgb="FFFFF8E1"/>
        <bgColor rgb="FFFFFFFF"/>
      </patternFill>
    </fill>
    <fill>
      <patternFill patternType="solid">
        <fgColor rgb="FF0A4A45"/>
        <bgColor rgb="FF333333"/>
      </patternFill>
    </fill>
  </fills>
  <borders count="2">
    <border diagonalUp="false" diagonalDown="false">
      <left/>
      <right/>
      <top/>
      <bottom/>
      <diagonal/>
    </border>
    <border diagonalUp="false" diagonalDown="false">
      <left style="thin">
        <color rgb="FFD9D4CA"/>
      </left>
      <right style="thin">
        <color rgb="FFD9D4CA"/>
      </right>
      <top style="thin">
        <color rgb="FFD9D4CA"/>
      </top>
      <bottom style="thin">
        <color rgb="FFD9D4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A4A45"/>
          <bgColor rgb="FF000000"/>
        </patternFill>
      </fill>
    </dxf>
    <dxf>
      <fill>
        <patternFill patternType="solid">
          <bgColor rgb="FF000000"/>
        </patternFill>
      </fill>
    </dxf>
    <dxf>
      <fill>
        <patternFill patternType="solid">
          <fgColor rgb="FF7A3212"/>
          <bgColor rgb="FF000000"/>
        </patternFill>
      </fill>
    </dxf>
    <dxf>
      <fill>
        <patternFill patternType="solid">
          <fgColor rgb="FFFFFFFF"/>
          <bgColor rgb="FF000000"/>
        </patternFill>
      </fill>
    </dxf>
    <dxf>
      <fill>
        <patternFill patternType="solid">
          <fgColor rgb="FFFFF8E1"/>
          <bgColor rgb="FF000000"/>
        </patternFill>
      </fill>
    </dxf>
    <dxf>
      <fill>
        <patternFill>
          <bgColor rgb="FFE3F1EE"/>
        </patternFill>
      </fill>
    </dxf>
    <dxf>
      <font>
        <color rgb="FF7A32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E3F1EE"/>
      <rgbColor rgb="FF660066"/>
      <rgbColor rgb="FFFF8080"/>
      <rgbColor rgb="FF0066CC"/>
      <rgbColor rgb="FFD9D4C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6606B"/>
      <rgbColor rgb="FF969696"/>
      <rgbColor rgb="FF0A4A45"/>
      <rgbColor rgb="FF339966"/>
      <rgbColor rgb="FF003300"/>
      <rgbColor rgb="FF333300"/>
      <rgbColor rgb="FF7A32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0"/>
    <col collapsed="false" customWidth="true" hidden="false" outlineLevel="0" max="4" min="4" style="0" width="16"/>
    <col collapsed="false" customWidth="true" hidden="false" outlineLevel="0" max="5" min="5" style="0" width="22"/>
    <col collapsed="false" customWidth="true" hidden="false" outlineLevel="0" max="6" min="6" style="0" width="20"/>
    <col collapsed="false" customWidth="true" hidden="false" outlineLevel="0" max="7" min="7" style="0" width="8"/>
    <col collapsed="false" customWidth="true" hidden="false" outlineLevel="0" max="8" min="8" style="0" width="30"/>
    <col collapsed="false" customWidth="true" hidden="false" outlineLevel="0" max="9" min="9" style="0" width="34"/>
    <col collapsed="false" customWidth="true" hidden="false" outlineLevel="0" max="10" min="10" style="0" width="30"/>
    <col collapsed="false" customWidth="true" hidden="false" outlineLevel="0" max="11" min="11" style="0" width="60"/>
    <col collapsed="false" customWidth="true" hidden="false" outlineLevel="0" max="12" min="12" style="0" width="34"/>
    <col collapsed="false" customWidth="true" hidden="false" outlineLevel="0" max="13" min="13" style="0" width="30"/>
    <col collapsed="false" customWidth="true" hidden="false" outlineLevel="0" max="14" min="14" style="0" width="12"/>
    <col collapsed="false" customWidth="true" hidden="false" outlineLevel="0" max="15" min="15" style="0" width="26"/>
    <col collapsed="false" customWidth="true" hidden="false" outlineLevel="0" max="16" min="16" style="0" width="20"/>
  </cols>
  <sheetData>
    <row r="1" customFormat="false" ht="17.35" hidden="false" customHeight="false" outlineLevel="0" collapsed="false">
      <c r="A1" s="1" t="s">
        <v>0</v>
      </c>
    </row>
    <row r="2" customFormat="false" ht="15" hidden="false" customHeight="false" outlineLevel="0" collapsed="false">
      <c r="A2" s="2" t="s">
        <v>1</v>
      </c>
      <c r="C2" s="3"/>
      <c r="E2" s="4" t="s">
        <v>2</v>
      </c>
    </row>
    <row r="4" customFormat="false" ht="15" hidden="false" customHeight="false" outlineLevel="0" collapsed="false">
      <c r="A4" s="5" t="s">
        <v>3</v>
      </c>
      <c r="B4" s="5" t="s">
        <v>4</v>
      </c>
      <c r="C4" s="5" t="s">
        <v>5</v>
      </c>
      <c r="D4" s="5" t="s">
        <v>6</v>
      </c>
      <c r="E4" s="5" t="s">
        <v>7</v>
      </c>
      <c r="F4" s="5" t="s">
        <v>8</v>
      </c>
      <c r="G4" s="5" t="s">
        <v>9</v>
      </c>
      <c r="H4" s="5" t="s">
        <v>10</v>
      </c>
      <c r="I4" s="5" t="s">
        <v>11</v>
      </c>
      <c r="J4" s="5" t="s">
        <v>12</v>
      </c>
      <c r="K4" s="5" t="s">
        <v>13</v>
      </c>
      <c r="L4" s="5" t="s">
        <v>14</v>
      </c>
      <c r="M4" s="5" t="s">
        <v>15</v>
      </c>
      <c r="N4" s="5" t="s">
        <v>16</v>
      </c>
      <c r="O4" s="5" t="s">
        <v>17</v>
      </c>
      <c r="P4" s="5" t="s">
        <v>18</v>
      </c>
    </row>
    <row r="5" customFormat="false" ht="168.65" hidden="false" customHeight="false" outlineLevel="0" collapsed="false">
      <c r="A5" s="6" t="n">
        <v>1</v>
      </c>
      <c r="B5" s="7" t="str">
        <f aca="false">IF($C$2="","",$C$2+A5-1)</f>
        <v/>
      </c>
      <c r="C5" s="6" t="str">
        <f aca="false">IF(B5="","",TEXT(B5,"ddd"))</f>
        <v/>
      </c>
      <c r="D5" s="6" t="s">
        <v>19</v>
      </c>
      <c r="E5" s="6" t="s">
        <v>20</v>
      </c>
      <c r="F5" s="6" t="s">
        <v>21</v>
      </c>
      <c r="G5" s="6" t="s">
        <v>22</v>
      </c>
      <c r="H5" s="6" t="s">
        <v>23</v>
      </c>
      <c r="I5" s="6"/>
      <c r="J5" s="6" t="s">
        <v>24</v>
      </c>
      <c r="K5" s="6" t="s">
        <v>25</v>
      </c>
      <c r="L5" s="6" t="s">
        <v>26</v>
      </c>
      <c r="M5" s="6"/>
      <c r="N5" s="8" t="s">
        <v>27</v>
      </c>
      <c r="O5" s="8"/>
      <c r="P5" s="6"/>
    </row>
    <row r="6" customFormat="false" ht="22.35" hidden="false" customHeight="false" outlineLevel="0" collapsed="false">
      <c r="A6" s="6" t="n">
        <v>1</v>
      </c>
      <c r="B6" s="7" t="str">
        <f aca="false">IF($C$2="","",$C$2+A6-1)</f>
        <v/>
      </c>
      <c r="C6" s="6" t="str">
        <f aca="false">IF(B6="","",TEXT(B6,"ddd"))</f>
        <v/>
      </c>
      <c r="D6" s="6" t="s">
        <v>19</v>
      </c>
      <c r="E6" s="6" t="s">
        <v>28</v>
      </c>
      <c r="F6" s="6" t="s">
        <v>29</v>
      </c>
      <c r="G6" s="6" t="s">
        <v>30</v>
      </c>
      <c r="H6" s="6" t="s">
        <v>31</v>
      </c>
      <c r="I6" s="6" t="s">
        <v>32</v>
      </c>
      <c r="J6" s="6" t="s">
        <v>24</v>
      </c>
      <c r="K6" s="6" t="s">
        <v>33</v>
      </c>
      <c r="L6" s="6" t="s">
        <v>26</v>
      </c>
      <c r="M6" s="6" t="s">
        <v>34</v>
      </c>
      <c r="N6" s="8" t="s">
        <v>27</v>
      </c>
      <c r="O6" s="8"/>
      <c r="P6" s="6"/>
    </row>
    <row r="7" customFormat="false" ht="74.6" hidden="false" customHeight="false" outlineLevel="0" collapsed="false">
      <c r="A7" s="6" t="n">
        <v>2</v>
      </c>
      <c r="B7" s="7" t="str">
        <f aca="false">IF($C$2="","",$C$2+A7-1)</f>
        <v/>
      </c>
      <c r="C7" s="6" t="str">
        <f aca="false">IF(B7="","",TEXT(B7,"ddd"))</f>
        <v/>
      </c>
      <c r="D7" s="6" t="s">
        <v>19</v>
      </c>
      <c r="E7" s="6" t="s">
        <v>35</v>
      </c>
      <c r="F7" s="6" t="s">
        <v>36</v>
      </c>
      <c r="G7" s="6" t="s">
        <v>37</v>
      </c>
      <c r="H7" s="6" t="s">
        <v>38</v>
      </c>
      <c r="I7" s="6"/>
      <c r="J7" s="6" t="s">
        <v>39</v>
      </c>
      <c r="K7" s="6" t="s">
        <v>40</v>
      </c>
      <c r="L7" s="6" t="s">
        <v>41</v>
      </c>
      <c r="M7" s="6" t="s">
        <v>42</v>
      </c>
      <c r="N7" s="8" t="s">
        <v>27</v>
      </c>
      <c r="O7" s="8"/>
      <c r="P7" s="6"/>
    </row>
    <row r="8" customFormat="false" ht="22.35" hidden="false" customHeight="false" outlineLevel="0" collapsed="false">
      <c r="A8" s="6" t="n">
        <v>2</v>
      </c>
      <c r="B8" s="7" t="str">
        <f aca="false">IF($C$2="","",$C$2+A8-1)</f>
        <v/>
      </c>
      <c r="C8" s="6" t="str">
        <f aca="false">IF(B8="","",TEXT(B8,"ddd"))</f>
        <v/>
      </c>
      <c r="D8" s="6" t="s">
        <v>19</v>
      </c>
      <c r="E8" s="6" t="s">
        <v>28</v>
      </c>
      <c r="F8" s="6" t="s">
        <v>29</v>
      </c>
      <c r="G8" s="6" t="s">
        <v>43</v>
      </c>
      <c r="H8" s="6" t="s">
        <v>44</v>
      </c>
      <c r="I8" s="6" t="s">
        <v>45</v>
      </c>
      <c r="J8" s="6" t="s">
        <v>46</v>
      </c>
      <c r="K8" s="6" t="s">
        <v>47</v>
      </c>
      <c r="L8" s="6" t="s">
        <v>48</v>
      </c>
      <c r="M8" s="6" t="s">
        <v>49</v>
      </c>
      <c r="N8" s="8" t="s">
        <v>27</v>
      </c>
      <c r="O8" s="8"/>
      <c r="P8" s="6"/>
    </row>
    <row r="9" customFormat="false" ht="32.8" hidden="false" customHeight="false" outlineLevel="0" collapsed="false">
      <c r="A9" s="6" t="n">
        <v>3</v>
      </c>
      <c r="B9" s="7" t="str">
        <f aca="false">IF($C$2="","",$C$2+A9-1)</f>
        <v/>
      </c>
      <c r="C9" s="6" t="str">
        <f aca="false">IF(B9="","",TEXT(B9,"ddd"))</f>
        <v/>
      </c>
      <c r="D9" s="6" t="s">
        <v>19</v>
      </c>
      <c r="E9" s="6" t="s">
        <v>50</v>
      </c>
      <c r="F9" s="6" t="s">
        <v>51</v>
      </c>
      <c r="G9" s="6" t="s">
        <v>52</v>
      </c>
      <c r="H9" s="6" t="s">
        <v>53</v>
      </c>
      <c r="I9" s="6"/>
      <c r="J9" s="6" t="s">
        <v>46</v>
      </c>
      <c r="K9" s="6" t="s">
        <v>54</v>
      </c>
      <c r="L9" s="6" t="s">
        <v>48</v>
      </c>
      <c r="M9" s="6" t="s">
        <v>55</v>
      </c>
      <c r="N9" s="8" t="s">
        <v>27</v>
      </c>
      <c r="O9" s="8"/>
      <c r="P9" s="6"/>
    </row>
    <row r="10" customFormat="false" ht="22.35" hidden="false" customHeight="false" outlineLevel="0" collapsed="false">
      <c r="A10" s="6" t="n">
        <v>3</v>
      </c>
      <c r="B10" s="7" t="str">
        <f aca="false">IF($C$2="","",$C$2+A10-1)</f>
        <v/>
      </c>
      <c r="C10" s="6" t="str">
        <f aca="false">IF(B10="","",TEXT(B10,"ddd"))</f>
        <v/>
      </c>
      <c r="D10" s="6" t="s">
        <v>19</v>
      </c>
      <c r="E10" s="6" t="s">
        <v>28</v>
      </c>
      <c r="F10" s="6" t="s">
        <v>29</v>
      </c>
      <c r="G10" s="6" t="s">
        <v>56</v>
      </c>
      <c r="H10" s="6" t="s">
        <v>57</v>
      </c>
      <c r="I10" s="6" t="s">
        <v>58</v>
      </c>
      <c r="J10" s="6" t="s">
        <v>59</v>
      </c>
      <c r="K10" s="6" t="s">
        <v>60</v>
      </c>
      <c r="L10" s="6" t="s">
        <v>61</v>
      </c>
      <c r="M10" s="6" t="s">
        <v>62</v>
      </c>
      <c r="N10" s="8" t="s">
        <v>27</v>
      </c>
      <c r="O10" s="8"/>
      <c r="P10" s="6"/>
    </row>
    <row r="11" customFormat="false" ht="22.35" hidden="false" customHeight="false" outlineLevel="0" collapsed="false">
      <c r="A11" s="6" t="n">
        <v>4</v>
      </c>
      <c r="B11" s="7" t="str">
        <f aca="false">IF($C$2="","",$C$2+A11-1)</f>
        <v/>
      </c>
      <c r="C11" s="6" t="str">
        <f aca="false">IF(B11="","",TEXT(B11,"ddd"))</f>
        <v/>
      </c>
      <c r="D11" s="6" t="s">
        <v>19</v>
      </c>
      <c r="E11" s="6" t="s">
        <v>28</v>
      </c>
      <c r="F11" s="6" t="s">
        <v>29</v>
      </c>
      <c r="G11" s="6" t="s">
        <v>63</v>
      </c>
      <c r="H11" s="6" t="s">
        <v>64</v>
      </c>
      <c r="I11" s="6" t="s">
        <v>65</v>
      </c>
      <c r="J11" s="6" t="s">
        <v>66</v>
      </c>
      <c r="K11" s="6" t="s">
        <v>67</v>
      </c>
      <c r="L11" s="6" t="s">
        <v>48</v>
      </c>
      <c r="M11" s="6" t="s">
        <v>68</v>
      </c>
      <c r="N11" s="8" t="s">
        <v>27</v>
      </c>
      <c r="O11" s="8"/>
      <c r="P11" s="6"/>
    </row>
    <row r="12" customFormat="false" ht="147.75" hidden="false" customHeight="false" outlineLevel="0" collapsed="false">
      <c r="A12" s="6" t="n">
        <v>5</v>
      </c>
      <c r="B12" s="7" t="str">
        <f aca="false">IF($C$2="","",$C$2+A12-1)</f>
        <v/>
      </c>
      <c r="C12" s="6" t="str">
        <f aca="false">IF(B12="","",TEXT(B12,"ddd"))</f>
        <v/>
      </c>
      <c r="D12" s="6" t="s">
        <v>19</v>
      </c>
      <c r="E12" s="6" t="s">
        <v>20</v>
      </c>
      <c r="F12" s="6" t="s">
        <v>21</v>
      </c>
      <c r="G12" s="6" t="s">
        <v>69</v>
      </c>
      <c r="H12" s="6" t="s">
        <v>70</v>
      </c>
      <c r="I12" s="6"/>
      <c r="J12" s="6" t="s">
        <v>59</v>
      </c>
      <c r="K12" s="6" t="s">
        <v>71</v>
      </c>
      <c r="L12" s="6" t="s">
        <v>61</v>
      </c>
      <c r="M12" s="6"/>
      <c r="N12" s="8" t="s">
        <v>27</v>
      </c>
      <c r="O12" s="8"/>
      <c r="P12" s="6"/>
    </row>
    <row r="13" customFormat="false" ht="22.35" hidden="false" customHeight="false" outlineLevel="0" collapsed="false">
      <c r="A13" s="6" t="n">
        <v>5</v>
      </c>
      <c r="B13" s="7" t="str">
        <f aca="false">IF($C$2="","",$C$2+A13-1)</f>
        <v/>
      </c>
      <c r="C13" s="6" t="str">
        <f aca="false">IF(B13="","",TEXT(B13,"ddd"))</f>
        <v/>
      </c>
      <c r="D13" s="6" t="s">
        <v>19</v>
      </c>
      <c r="E13" s="6" t="s">
        <v>28</v>
      </c>
      <c r="F13" s="6" t="s">
        <v>29</v>
      </c>
      <c r="G13" s="6" t="s">
        <v>72</v>
      </c>
      <c r="H13" s="6" t="s">
        <v>73</v>
      </c>
      <c r="I13" s="6" t="s">
        <v>74</v>
      </c>
      <c r="J13" s="6" t="s">
        <v>75</v>
      </c>
      <c r="K13" s="6" t="s">
        <v>76</v>
      </c>
      <c r="L13" s="6" t="s">
        <v>26</v>
      </c>
      <c r="M13" s="6" t="s">
        <v>77</v>
      </c>
      <c r="N13" s="8" t="s">
        <v>27</v>
      </c>
      <c r="O13" s="8"/>
      <c r="P13" s="6"/>
    </row>
    <row r="14" customFormat="false" ht="74.6" hidden="false" customHeight="false" outlineLevel="0" collapsed="false">
      <c r="A14" s="6" t="n">
        <v>6</v>
      </c>
      <c r="B14" s="7" t="str">
        <f aca="false">IF($C$2="","",$C$2+A14-1)</f>
        <v/>
      </c>
      <c r="C14" s="6" t="str">
        <f aca="false">IF(B14="","",TEXT(B14,"ddd"))</f>
        <v/>
      </c>
      <c r="D14" s="6" t="s">
        <v>19</v>
      </c>
      <c r="E14" s="6" t="s">
        <v>35</v>
      </c>
      <c r="F14" s="6" t="s">
        <v>36</v>
      </c>
      <c r="G14" s="6" t="s">
        <v>78</v>
      </c>
      <c r="H14" s="6" t="s">
        <v>79</v>
      </c>
      <c r="I14" s="6"/>
      <c r="J14" s="6" t="s">
        <v>80</v>
      </c>
      <c r="K14" s="6" t="s">
        <v>81</v>
      </c>
      <c r="L14" s="6" t="s">
        <v>61</v>
      </c>
      <c r="M14" s="6" t="s">
        <v>82</v>
      </c>
      <c r="N14" s="8" t="s">
        <v>27</v>
      </c>
      <c r="O14" s="8"/>
      <c r="P14" s="6"/>
    </row>
    <row r="15" customFormat="false" ht="32.8" hidden="false" customHeight="false" outlineLevel="0" collapsed="false">
      <c r="A15" s="6" t="n">
        <v>6</v>
      </c>
      <c r="B15" s="7" t="str">
        <f aca="false">IF($C$2="","",$C$2+A15-1)</f>
        <v/>
      </c>
      <c r="C15" s="6" t="str">
        <f aca="false">IF(B15="","",TEXT(B15,"ddd"))</f>
        <v/>
      </c>
      <c r="D15" s="6" t="s">
        <v>19</v>
      </c>
      <c r="E15" s="6" t="s">
        <v>28</v>
      </c>
      <c r="F15" s="6" t="s">
        <v>29</v>
      </c>
      <c r="G15" s="6" t="s">
        <v>83</v>
      </c>
      <c r="H15" s="6" t="s">
        <v>84</v>
      </c>
      <c r="I15" s="6" t="s">
        <v>85</v>
      </c>
      <c r="J15" s="6" t="s">
        <v>86</v>
      </c>
      <c r="K15" s="6" t="s">
        <v>87</v>
      </c>
      <c r="L15" s="6" t="s">
        <v>88</v>
      </c>
      <c r="M15" s="6" t="s">
        <v>89</v>
      </c>
      <c r="N15" s="8" t="s">
        <v>27</v>
      </c>
      <c r="O15" s="8"/>
      <c r="P15" s="6"/>
    </row>
    <row r="16" customFormat="false" ht="22.35" hidden="false" customHeight="false" outlineLevel="0" collapsed="false">
      <c r="A16" s="6" t="n">
        <v>7</v>
      </c>
      <c r="B16" s="7" t="str">
        <f aca="false">IF($C$2="","",$C$2+A16-1)</f>
        <v/>
      </c>
      <c r="C16" s="6" t="str">
        <f aca="false">IF(B16="","",TEXT(B16,"ddd"))</f>
        <v/>
      </c>
      <c r="D16" s="6" t="s">
        <v>19</v>
      </c>
      <c r="E16" s="6" t="s">
        <v>50</v>
      </c>
      <c r="F16" s="6" t="s">
        <v>51</v>
      </c>
      <c r="G16" s="6" t="s">
        <v>90</v>
      </c>
      <c r="H16" s="6" t="s">
        <v>91</v>
      </c>
      <c r="I16" s="6"/>
      <c r="J16" s="6" t="s">
        <v>75</v>
      </c>
      <c r="K16" s="6" t="s">
        <v>92</v>
      </c>
      <c r="L16" s="6" t="s">
        <v>26</v>
      </c>
      <c r="M16" s="6" t="s">
        <v>93</v>
      </c>
      <c r="N16" s="8" t="s">
        <v>27</v>
      </c>
      <c r="O16" s="8"/>
      <c r="P16" s="6"/>
    </row>
    <row r="17" customFormat="false" ht="22.35" hidden="false" customHeight="false" outlineLevel="0" collapsed="false">
      <c r="A17" s="6" t="n">
        <v>7</v>
      </c>
      <c r="B17" s="7" t="str">
        <f aca="false">IF($C$2="","",$C$2+A17-1)</f>
        <v/>
      </c>
      <c r="C17" s="6" t="str">
        <f aca="false">IF(B17="","",TEXT(B17,"ddd"))</f>
        <v/>
      </c>
      <c r="D17" s="6" t="s">
        <v>19</v>
      </c>
      <c r="E17" s="6" t="s">
        <v>28</v>
      </c>
      <c r="F17" s="6" t="s">
        <v>29</v>
      </c>
      <c r="G17" s="6" t="s">
        <v>94</v>
      </c>
      <c r="H17" s="6" t="s">
        <v>95</v>
      </c>
      <c r="I17" s="6" t="s">
        <v>96</v>
      </c>
      <c r="J17" s="6" t="s">
        <v>39</v>
      </c>
      <c r="K17" s="6" t="s">
        <v>97</v>
      </c>
      <c r="L17" s="6" t="s">
        <v>41</v>
      </c>
      <c r="M17" s="6" t="s">
        <v>98</v>
      </c>
      <c r="N17" s="8" t="s">
        <v>27</v>
      </c>
      <c r="O17" s="8"/>
      <c r="P17" s="6"/>
    </row>
    <row r="18" customFormat="false" ht="22.35" hidden="false" customHeight="false" outlineLevel="0" collapsed="false">
      <c r="A18" s="6" t="n">
        <v>8</v>
      </c>
      <c r="B18" s="7" t="str">
        <f aca="false">IF($C$2="","",$C$2+A18-1)</f>
        <v/>
      </c>
      <c r="C18" s="6" t="str">
        <f aca="false">IF(B18="","",TEXT(B18,"ddd"))</f>
        <v/>
      </c>
      <c r="D18" s="6" t="s">
        <v>19</v>
      </c>
      <c r="E18" s="6" t="s">
        <v>28</v>
      </c>
      <c r="F18" s="6" t="s">
        <v>29</v>
      </c>
      <c r="G18" s="6" t="s">
        <v>99</v>
      </c>
      <c r="H18" s="6" t="s">
        <v>100</v>
      </c>
      <c r="I18" s="6" t="s">
        <v>101</v>
      </c>
      <c r="J18" s="6" t="s">
        <v>102</v>
      </c>
      <c r="K18" s="6" t="s">
        <v>103</v>
      </c>
      <c r="L18" s="6" t="s">
        <v>61</v>
      </c>
      <c r="M18" s="6" t="s">
        <v>104</v>
      </c>
      <c r="N18" s="8" t="s">
        <v>27</v>
      </c>
      <c r="O18" s="8"/>
      <c r="P18" s="6"/>
    </row>
    <row r="19" customFormat="false" ht="168.65" hidden="false" customHeight="false" outlineLevel="0" collapsed="false">
      <c r="A19" s="6" t="n">
        <v>9</v>
      </c>
      <c r="B19" s="7" t="str">
        <f aca="false">IF($C$2="","",$C$2+A19-1)</f>
        <v/>
      </c>
      <c r="C19" s="6" t="str">
        <f aca="false">IF(B19="","",TEXT(B19,"ddd"))</f>
        <v/>
      </c>
      <c r="D19" s="6" t="s">
        <v>19</v>
      </c>
      <c r="E19" s="6" t="s">
        <v>20</v>
      </c>
      <c r="F19" s="6" t="s">
        <v>21</v>
      </c>
      <c r="G19" s="6" t="s">
        <v>105</v>
      </c>
      <c r="H19" s="6" t="s">
        <v>106</v>
      </c>
      <c r="I19" s="6"/>
      <c r="J19" s="6" t="s">
        <v>66</v>
      </c>
      <c r="K19" s="6" t="s">
        <v>107</v>
      </c>
      <c r="L19" s="6" t="s">
        <v>48</v>
      </c>
      <c r="M19" s="6"/>
      <c r="N19" s="8" t="s">
        <v>27</v>
      </c>
      <c r="O19" s="8"/>
      <c r="P19" s="6"/>
    </row>
    <row r="20" customFormat="false" ht="22.35" hidden="false" customHeight="false" outlineLevel="0" collapsed="false">
      <c r="A20" s="6" t="n">
        <v>9</v>
      </c>
      <c r="B20" s="7" t="str">
        <f aca="false">IF($C$2="","",$C$2+A20-1)</f>
        <v/>
      </c>
      <c r="C20" s="6" t="str">
        <f aca="false">IF(B20="","",TEXT(B20,"ddd"))</f>
        <v/>
      </c>
      <c r="D20" s="6" t="s">
        <v>19</v>
      </c>
      <c r="E20" s="6" t="s">
        <v>28</v>
      </c>
      <c r="F20" s="6" t="s">
        <v>29</v>
      </c>
      <c r="G20" s="6" t="s">
        <v>108</v>
      </c>
      <c r="H20" s="6" t="s">
        <v>109</v>
      </c>
      <c r="I20" s="6" t="s">
        <v>110</v>
      </c>
      <c r="J20" s="6" t="s">
        <v>111</v>
      </c>
      <c r="K20" s="6" t="s">
        <v>112</v>
      </c>
      <c r="L20" s="6" t="s">
        <v>48</v>
      </c>
      <c r="M20" s="6" t="s">
        <v>113</v>
      </c>
      <c r="N20" s="8" t="s">
        <v>27</v>
      </c>
      <c r="O20" s="8"/>
      <c r="P20" s="6"/>
    </row>
    <row r="21" customFormat="false" ht="85.05" hidden="false" customHeight="false" outlineLevel="0" collapsed="false">
      <c r="A21" s="6" t="n">
        <v>10</v>
      </c>
      <c r="B21" s="7" t="str">
        <f aca="false">IF($C$2="","",$C$2+A21-1)</f>
        <v/>
      </c>
      <c r="C21" s="6" t="str">
        <f aca="false">IF(B21="","",TEXT(B21,"ddd"))</f>
        <v/>
      </c>
      <c r="D21" s="6" t="s">
        <v>19</v>
      </c>
      <c r="E21" s="6" t="s">
        <v>20</v>
      </c>
      <c r="F21" s="6" t="s">
        <v>36</v>
      </c>
      <c r="G21" s="6" t="s">
        <v>114</v>
      </c>
      <c r="H21" s="6" t="s">
        <v>115</v>
      </c>
      <c r="I21" s="6"/>
      <c r="J21" s="6" t="s">
        <v>116</v>
      </c>
      <c r="K21" s="6" t="s">
        <v>117</v>
      </c>
      <c r="L21" s="6" t="s">
        <v>41</v>
      </c>
      <c r="M21" s="6" t="s">
        <v>118</v>
      </c>
      <c r="N21" s="8" t="s">
        <v>27</v>
      </c>
      <c r="O21" s="8"/>
      <c r="P21" s="6"/>
    </row>
    <row r="22" customFormat="false" ht="22.35" hidden="false" customHeight="false" outlineLevel="0" collapsed="false">
      <c r="A22" s="6" t="n">
        <v>10</v>
      </c>
      <c r="B22" s="7" t="str">
        <f aca="false">IF($C$2="","",$C$2+A22-1)</f>
        <v/>
      </c>
      <c r="C22" s="6" t="str">
        <f aca="false">IF(B22="","",TEXT(B22,"ddd"))</f>
        <v/>
      </c>
      <c r="D22" s="6" t="s">
        <v>19</v>
      </c>
      <c r="E22" s="6" t="s">
        <v>28</v>
      </c>
      <c r="F22" s="6" t="s">
        <v>29</v>
      </c>
      <c r="G22" s="6" t="s">
        <v>119</v>
      </c>
      <c r="H22" s="6" t="s">
        <v>120</v>
      </c>
      <c r="I22" s="6" t="s">
        <v>121</v>
      </c>
      <c r="J22" s="6" t="s">
        <v>122</v>
      </c>
      <c r="K22" s="6" t="s">
        <v>123</v>
      </c>
      <c r="L22" s="6" t="s">
        <v>26</v>
      </c>
      <c r="M22" s="6" t="s">
        <v>124</v>
      </c>
      <c r="N22" s="8" t="s">
        <v>27</v>
      </c>
      <c r="O22" s="8"/>
      <c r="P22" s="6"/>
    </row>
    <row r="23" customFormat="false" ht="22.35" hidden="false" customHeight="false" outlineLevel="0" collapsed="false">
      <c r="A23" s="6" t="n">
        <v>11</v>
      </c>
      <c r="B23" s="7" t="str">
        <f aca="false">IF($C$2="","",$C$2+A23-1)</f>
        <v/>
      </c>
      <c r="C23" s="6" t="str">
        <f aca="false">IF(B23="","",TEXT(B23,"ddd"))</f>
        <v/>
      </c>
      <c r="D23" s="6" t="s">
        <v>19</v>
      </c>
      <c r="E23" s="6" t="s">
        <v>50</v>
      </c>
      <c r="F23" s="6" t="s">
        <v>51</v>
      </c>
      <c r="G23" s="6" t="s">
        <v>125</v>
      </c>
      <c r="H23" s="6" t="s">
        <v>126</v>
      </c>
      <c r="I23" s="6"/>
      <c r="J23" s="6" t="s">
        <v>86</v>
      </c>
      <c r="K23" s="6" t="s">
        <v>127</v>
      </c>
      <c r="L23" s="6" t="s">
        <v>88</v>
      </c>
      <c r="M23" s="6" t="s">
        <v>128</v>
      </c>
      <c r="N23" s="8" t="s">
        <v>27</v>
      </c>
      <c r="O23" s="8"/>
      <c r="P23" s="6"/>
    </row>
    <row r="24" customFormat="false" ht="22.35" hidden="false" customHeight="false" outlineLevel="0" collapsed="false">
      <c r="A24" s="6" t="n">
        <v>11</v>
      </c>
      <c r="B24" s="7" t="str">
        <f aca="false">IF($C$2="","",$C$2+A24-1)</f>
        <v/>
      </c>
      <c r="C24" s="6" t="str">
        <f aca="false">IF(B24="","",TEXT(B24,"ddd"))</f>
        <v/>
      </c>
      <c r="D24" s="6" t="s">
        <v>19</v>
      </c>
      <c r="E24" s="6" t="s">
        <v>28</v>
      </c>
      <c r="F24" s="6" t="s">
        <v>29</v>
      </c>
      <c r="G24" s="6" t="s">
        <v>129</v>
      </c>
      <c r="H24" s="6" t="s">
        <v>130</v>
      </c>
      <c r="I24" s="6" t="s">
        <v>131</v>
      </c>
      <c r="J24" s="6" t="s">
        <v>80</v>
      </c>
      <c r="K24" s="6" t="s">
        <v>132</v>
      </c>
      <c r="L24" s="6" t="s">
        <v>61</v>
      </c>
      <c r="M24" s="6" t="s">
        <v>133</v>
      </c>
      <c r="N24" s="8" t="s">
        <v>27</v>
      </c>
      <c r="O24" s="8"/>
      <c r="P24" s="6"/>
    </row>
    <row r="25" customFormat="false" ht="22.35" hidden="false" customHeight="false" outlineLevel="0" collapsed="false">
      <c r="A25" s="6" t="n">
        <v>12</v>
      </c>
      <c r="B25" s="7" t="str">
        <f aca="false">IF($C$2="","",$C$2+A25-1)</f>
        <v/>
      </c>
      <c r="C25" s="6" t="str">
        <f aca="false">IF(B25="","",TEXT(B25,"ddd"))</f>
        <v/>
      </c>
      <c r="D25" s="6" t="s">
        <v>19</v>
      </c>
      <c r="E25" s="6" t="s">
        <v>50</v>
      </c>
      <c r="F25" s="6" t="s">
        <v>36</v>
      </c>
      <c r="G25" s="6" t="s">
        <v>134</v>
      </c>
      <c r="H25" s="6" t="s">
        <v>135</v>
      </c>
      <c r="I25" s="6"/>
      <c r="J25" s="6" t="s">
        <v>39</v>
      </c>
      <c r="K25" s="6" t="s">
        <v>136</v>
      </c>
      <c r="L25" s="6" t="s">
        <v>41</v>
      </c>
      <c r="M25" s="6" t="s">
        <v>137</v>
      </c>
      <c r="N25" s="8" t="s">
        <v>27</v>
      </c>
      <c r="O25" s="8"/>
      <c r="P25" s="6"/>
    </row>
    <row r="26" customFormat="false" ht="22.35" hidden="false" customHeight="false" outlineLevel="0" collapsed="false">
      <c r="A26" s="6" t="n">
        <v>12</v>
      </c>
      <c r="B26" s="7" t="str">
        <f aca="false">IF($C$2="","",$C$2+A26-1)</f>
        <v/>
      </c>
      <c r="C26" s="6" t="str">
        <f aca="false">IF(B26="","",TEXT(B26,"ddd"))</f>
        <v/>
      </c>
      <c r="D26" s="6" t="s">
        <v>19</v>
      </c>
      <c r="E26" s="6" t="s">
        <v>28</v>
      </c>
      <c r="F26" s="6" t="s">
        <v>29</v>
      </c>
      <c r="G26" s="6" t="s">
        <v>138</v>
      </c>
      <c r="H26" s="6" t="s">
        <v>139</v>
      </c>
      <c r="I26" s="6" t="s">
        <v>140</v>
      </c>
      <c r="J26" s="6" t="s">
        <v>141</v>
      </c>
      <c r="K26" s="6" t="s">
        <v>142</v>
      </c>
      <c r="L26" s="6" t="s">
        <v>88</v>
      </c>
      <c r="M26" s="6" t="s">
        <v>143</v>
      </c>
      <c r="N26" s="8" t="s">
        <v>27</v>
      </c>
      <c r="O26" s="8"/>
      <c r="P26" s="6"/>
    </row>
    <row r="27" customFormat="false" ht="126.85" hidden="false" customHeight="false" outlineLevel="0" collapsed="false">
      <c r="A27" s="6" t="n">
        <v>13</v>
      </c>
      <c r="B27" s="7" t="str">
        <f aca="false">IF($C$2="","",$C$2+A27-1)</f>
        <v/>
      </c>
      <c r="C27" s="6" t="str">
        <f aca="false">IF(B27="","",TEXT(B27,"ddd"))</f>
        <v/>
      </c>
      <c r="D27" s="6" t="s">
        <v>19</v>
      </c>
      <c r="E27" s="6" t="s">
        <v>20</v>
      </c>
      <c r="F27" s="6" t="s">
        <v>21</v>
      </c>
      <c r="G27" s="6" t="s">
        <v>144</v>
      </c>
      <c r="H27" s="6" t="s">
        <v>145</v>
      </c>
      <c r="I27" s="6"/>
      <c r="J27" s="6" t="s">
        <v>122</v>
      </c>
      <c r="K27" s="6" t="s">
        <v>146</v>
      </c>
      <c r="L27" s="6" t="s">
        <v>26</v>
      </c>
      <c r="M27" s="6"/>
      <c r="N27" s="8" t="s">
        <v>27</v>
      </c>
      <c r="O27" s="8"/>
      <c r="P27" s="6"/>
    </row>
    <row r="28" customFormat="false" ht="22.35" hidden="false" customHeight="false" outlineLevel="0" collapsed="false">
      <c r="A28" s="6" t="n">
        <v>13</v>
      </c>
      <c r="B28" s="7" t="str">
        <f aca="false">IF($C$2="","",$C$2+A28-1)</f>
        <v/>
      </c>
      <c r="C28" s="6" t="str">
        <f aca="false">IF(B28="","",TEXT(B28,"ddd"))</f>
        <v/>
      </c>
      <c r="D28" s="6" t="s">
        <v>19</v>
      </c>
      <c r="E28" s="6" t="s">
        <v>28</v>
      </c>
      <c r="F28" s="6" t="s">
        <v>29</v>
      </c>
      <c r="G28" s="6" t="s">
        <v>147</v>
      </c>
      <c r="H28" s="6" t="s">
        <v>148</v>
      </c>
      <c r="I28" s="6" t="s">
        <v>149</v>
      </c>
      <c r="J28" s="6" t="s">
        <v>150</v>
      </c>
      <c r="K28" s="6" t="s">
        <v>151</v>
      </c>
      <c r="L28" s="6" t="s">
        <v>26</v>
      </c>
      <c r="M28" s="6" t="s">
        <v>152</v>
      </c>
      <c r="N28" s="8" t="s">
        <v>27</v>
      </c>
      <c r="O28" s="8"/>
      <c r="P28" s="6"/>
    </row>
    <row r="29" customFormat="false" ht="85.05" hidden="false" customHeight="false" outlineLevel="0" collapsed="false">
      <c r="A29" s="6" t="n">
        <v>14</v>
      </c>
      <c r="B29" s="7" t="str">
        <f aca="false">IF($C$2="","",$C$2+A29-1)</f>
        <v/>
      </c>
      <c r="C29" s="6" t="str">
        <f aca="false">IF(B29="","",TEXT(B29,"ddd"))</f>
        <v/>
      </c>
      <c r="D29" s="6" t="s">
        <v>19</v>
      </c>
      <c r="E29" s="6" t="s">
        <v>35</v>
      </c>
      <c r="F29" s="6" t="s">
        <v>36</v>
      </c>
      <c r="G29" s="6" t="s">
        <v>153</v>
      </c>
      <c r="H29" s="6" t="s">
        <v>154</v>
      </c>
      <c r="I29" s="6"/>
      <c r="J29" s="6" t="s">
        <v>155</v>
      </c>
      <c r="K29" s="6" t="s">
        <v>156</v>
      </c>
      <c r="L29" s="6" t="s">
        <v>61</v>
      </c>
      <c r="M29" s="6" t="s">
        <v>157</v>
      </c>
      <c r="N29" s="8" t="s">
        <v>27</v>
      </c>
      <c r="O29" s="8"/>
      <c r="P29" s="6"/>
    </row>
    <row r="30" customFormat="false" ht="22.35" hidden="false" customHeight="false" outlineLevel="0" collapsed="false">
      <c r="A30" s="6" t="n">
        <v>14</v>
      </c>
      <c r="B30" s="7" t="str">
        <f aca="false">IF($C$2="","",$C$2+A30-1)</f>
        <v/>
      </c>
      <c r="C30" s="6" t="str">
        <f aca="false">IF(B30="","",TEXT(B30,"ddd"))</f>
        <v/>
      </c>
      <c r="D30" s="6" t="s">
        <v>19</v>
      </c>
      <c r="E30" s="6" t="s">
        <v>28</v>
      </c>
      <c r="F30" s="6" t="s">
        <v>29</v>
      </c>
      <c r="G30" s="6" t="s">
        <v>158</v>
      </c>
      <c r="H30" s="6" t="s">
        <v>159</v>
      </c>
      <c r="I30" s="6" t="s">
        <v>160</v>
      </c>
      <c r="J30" s="6" t="s">
        <v>39</v>
      </c>
      <c r="K30" s="6" t="s">
        <v>161</v>
      </c>
      <c r="L30" s="6" t="s">
        <v>41</v>
      </c>
      <c r="M30" s="6" t="s">
        <v>162</v>
      </c>
      <c r="N30" s="8" t="s">
        <v>27</v>
      </c>
      <c r="O30" s="8"/>
      <c r="P30" s="6"/>
    </row>
    <row r="31" customFormat="false" ht="22.35" hidden="false" customHeight="false" outlineLevel="0" collapsed="false">
      <c r="A31" s="6" t="n">
        <v>15</v>
      </c>
      <c r="B31" s="7" t="str">
        <f aca="false">IF($C$2="","",$C$2+A31-1)</f>
        <v/>
      </c>
      <c r="C31" s="6" t="str">
        <f aca="false">IF(B31="","",TEXT(B31,"ddd"))</f>
        <v/>
      </c>
      <c r="D31" s="6" t="s">
        <v>19</v>
      </c>
      <c r="E31" s="6" t="s">
        <v>50</v>
      </c>
      <c r="F31" s="6" t="s">
        <v>51</v>
      </c>
      <c r="G31" s="6" t="s">
        <v>163</v>
      </c>
      <c r="H31" s="6" t="s">
        <v>164</v>
      </c>
      <c r="I31" s="6"/>
      <c r="J31" s="6" t="s">
        <v>165</v>
      </c>
      <c r="K31" s="6" t="s">
        <v>166</v>
      </c>
      <c r="L31" s="6" t="s">
        <v>61</v>
      </c>
      <c r="M31" s="6" t="s">
        <v>167</v>
      </c>
      <c r="N31" s="8" t="s">
        <v>27</v>
      </c>
      <c r="O31" s="8"/>
      <c r="P31" s="6"/>
    </row>
    <row r="32" customFormat="false" ht="22.35" hidden="false" customHeight="false" outlineLevel="0" collapsed="false">
      <c r="A32" s="6" t="n">
        <v>15</v>
      </c>
      <c r="B32" s="7" t="str">
        <f aca="false">IF($C$2="","",$C$2+A32-1)</f>
        <v/>
      </c>
      <c r="C32" s="6" t="str">
        <f aca="false">IF(B32="","",TEXT(B32,"ddd"))</f>
        <v/>
      </c>
      <c r="D32" s="6" t="s">
        <v>19</v>
      </c>
      <c r="E32" s="6" t="s">
        <v>28</v>
      </c>
      <c r="F32" s="6" t="s">
        <v>29</v>
      </c>
      <c r="G32" s="6" t="s">
        <v>168</v>
      </c>
      <c r="H32" s="6" t="s">
        <v>169</v>
      </c>
      <c r="I32" s="6" t="s">
        <v>170</v>
      </c>
      <c r="J32" s="6" t="s">
        <v>165</v>
      </c>
      <c r="K32" s="6" t="s">
        <v>171</v>
      </c>
      <c r="L32" s="6" t="s">
        <v>61</v>
      </c>
      <c r="M32" s="6" t="s">
        <v>172</v>
      </c>
      <c r="N32" s="8" t="s">
        <v>27</v>
      </c>
      <c r="O32" s="8"/>
      <c r="P32" s="6"/>
    </row>
    <row r="33" customFormat="false" ht="85.05" hidden="false" customHeight="false" outlineLevel="0" collapsed="false">
      <c r="A33" s="6" t="n">
        <v>16</v>
      </c>
      <c r="B33" s="7" t="str">
        <f aca="false">IF($C$2="","",$C$2+A33-1)</f>
        <v/>
      </c>
      <c r="C33" s="6" t="str">
        <f aca="false">IF(B33="","",TEXT(B33,"ddd"))</f>
        <v/>
      </c>
      <c r="D33" s="6" t="s">
        <v>19</v>
      </c>
      <c r="E33" s="6" t="s">
        <v>20</v>
      </c>
      <c r="F33" s="6" t="s">
        <v>36</v>
      </c>
      <c r="G33" s="6" t="s">
        <v>173</v>
      </c>
      <c r="H33" s="6" t="s">
        <v>174</v>
      </c>
      <c r="I33" s="6"/>
      <c r="J33" s="6" t="s">
        <v>175</v>
      </c>
      <c r="K33" s="6" t="s">
        <v>176</v>
      </c>
      <c r="L33" s="6" t="s">
        <v>48</v>
      </c>
      <c r="M33" s="6" t="s">
        <v>177</v>
      </c>
      <c r="N33" s="8" t="s">
        <v>27</v>
      </c>
      <c r="O33" s="8"/>
      <c r="P33" s="6"/>
    </row>
    <row r="34" customFormat="false" ht="22.35" hidden="false" customHeight="false" outlineLevel="0" collapsed="false">
      <c r="A34" s="6" t="n">
        <v>16</v>
      </c>
      <c r="B34" s="7" t="str">
        <f aca="false">IF($C$2="","",$C$2+A34-1)</f>
        <v/>
      </c>
      <c r="C34" s="6" t="str">
        <f aca="false">IF(B34="","",TEXT(B34,"ddd"))</f>
        <v/>
      </c>
      <c r="D34" s="6" t="s">
        <v>19</v>
      </c>
      <c r="E34" s="6" t="s">
        <v>28</v>
      </c>
      <c r="F34" s="6" t="s">
        <v>29</v>
      </c>
      <c r="G34" s="6" t="s">
        <v>178</v>
      </c>
      <c r="H34" s="6" t="s">
        <v>179</v>
      </c>
      <c r="I34" s="6" t="s">
        <v>180</v>
      </c>
      <c r="J34" s="6" t="s">
        <v>181</v>
      </c>
      <c r="K34" s="6" t="s">
        <v>182</v>
      </c>
      <c r="L34" s="6" t="s">
        <v>88</v>
      </c>
      <c r="M34" s="6" t="s">
        <v>183</v>
      </c>
      <c r="N34" s="8" t="s">
        <v>27</v>
      </c>
      <c r="O34" s="8"/>
      <c r="P34" s="6"/>
    </row>
    <row r="35" customFormat="false" ht="189.55" hidden="false" customHeight="false" outlineLevel="0" collapsed="false">
      <c r="A35" s="6" t="n">
        <v>17</v>
      </c>
      <c r="B35" s="7" t="str">
        <f aca="false">IF($C$2="","",$C$2+A35-1)</f>
        <v/>
      </c>
      <c r="C35" s="6" t="str">
        <f aca="false">IF(B35="","",TEXT(B35,"ddd"))</f>
        <v/>
      </c>
      <c r="D35" s="6" t="s">
        <v>19</v>
      </c>
      <c r="E35" s="6" t="s">
        <v>20</v>
      </c>
      <c r="F35" s="6" t="s">
        <v>21</v>
      </c>
      <c r="G35" s="6" t="s">
        <v>184</v>
      </c>
      <c r="H35" s="6" t="s">
        <v>185</v>
      </c>
      <c r="I35" s="6"/>
      <c r="J35" s="6" t="s">
        <v>111</v>
      </c>
      <c r="K35" s="6" t="s">
        <v>186</v>
      </c>
      <c r="L35" s="6" t="s">
        <v>48</v>
      </c>
      <c r="M35" s="6"/>
      <c r="N35" s="8" t="s">
        <v>27</v>
      </c>
      <c r="O35" s="8"/>
      <c r="P35" s="6"/>
    </row>
    <row r="36" customFormat="false" ht="32.8" hidden="false" customHeight="false" outlineLevel="0" collapsed="false">
      <c r="A36" s="6" t="n">
        <v>17</v>
      </c>
      <c r="B36" s="7" t="str">
        <f aca="false">IF($C$2="","",$C$2+A36-1)</f>
        <v/>
      </c>
      <c r="C36" s="6" t="str">
        <f aca="false">IF(B36="","",TEXT(B36,"ddd"))</f>
        <v/>
      </c>
      <c r="D36" s="6" t="s">
        <v>19</v>
      </c>
      <c r="E36" s="6" t="s">
        <v>28</v>
      </c>
      <c r="F36" s="6" t="s">
        <v>29</v>
      </c>
      <c r="G36" s="6" t="s">
        <v>187</v>
      </c>
      <c r="H36" s="6" t="s">
        <v>188</v>
      </c>
      <c r="I36" s="6" t="s">
        <v>189</v>
      </c>
      <c r="J36" s="6" t="s">
        <v>190</v>
      </c>
      <c r="K36" s="6" t="s">
        <v>191</v>
      </c>
      <c r="L36" s="6" t="s">
        <v>192</v>
      </c>
      <c r="M36" s="6" t="s">
        <v>193</v>
      </c>
      <c r="N36" s="8" t="s">
        <v>27</v>
      </c>
      <c r="O36" s="8"/>
      <c r="P36" s="6"/>
    </row>
    <row r="37" customFormat="false" ht="22.35" hidden="false" customHeight="false" outlineLevel="0" collapsed="false">
      <c r="A37" s="6" t="n">
        <v>18</v>
      </c>
      <c r="B37" s="7" t="str">
        <f aca="false">IF($C$2="","",$C$2+A37-1)</f>
        <v/>
      </c>
      <c r="C37" s="6" t="str">
        <f aca="false">IF(B37="","",TEXT(B37,"ddd"))</f>
        <v/>
      </c>
      <c r="D37" s="6" t="s">
        <v>19</v>
      </c>
      <c r="E37" s="6" t="s">
        <v>28</v>
      </c>
      <c r="F37" s="6" t="s">
        <v>29</v>
      </c>
      <c r="G37" s="6" t="s">
        <v>194</v>
      </c>
      <c r="H37" s="6" t="s">
        <v>195</v>
      </c>
      <c r="I37" s="6" t="s">
        <v>196</v>
      </c>
      <c r="J37" s="6" t="s">
        <v>197</v>
      </c>
      <c r="K37" s="6" t="s">
        <v>198</v>
      </c>
      <c r="L37" s="6" t="s">
        <v>48</v>
      </c>
      <c r="M37" s="6" t="s">
        <v>199</v>
      </c>
      <c r="N37" s="8" t="s">
        <v>27</v>
      </c>
      <c r="O37" s="8"/>
      <c r="P37" s="6"/>
    </row>
    <row r="38" customFormat="false" ht="22.35" hidden="false" customHeight="false" outlineLevel="0" collapsed="false">
      <c r="A38" s="6" t="n">
        <v>19</v>
      </c>
      <c r="B38" s="7" t="str">
        <f aca="false">IF($C$2="","",$C$2+A38-1)</f>
        <v/>
      </c>
      <c r="C38" s="6" t="str">
        <f aca="false">IF(B38="","",TEXT(B38,"ddd"))</f>
        <v/>
      </c>
      <c r="D38" s="6" t="s">
        <v>19</v>
      </c>
      <c r="E38" s="6" t="s">
        <v>50</v>
      </c>
      <c r="F38" s="6" t="s">
        <v>51</v>
      </c>
      <c r="G38" s="6" t="s">
        <v>200</v>
      </c>
      <c r="H38" s="6" t="s">
        <v>201</v>
      </c>
      <c r="I38" s="6"/>
      <c r="J38" s="6" t="s">
        <v>141</v>
      </c>
      <c r="K38" s="6" t="s">
        <v>202</v>
      </c>
      <c r="L38" s="6" t="s">
        <v>88</v>
      </c>
      <c r="M38" s="6" t="s">
        <v>203</v>
      </c>
      <c r="N38" s="8" t="s">
        <v>27</v>
      </c>
      <c r="O38" s="8"/>
      <c r="P38" s="6"/>
    </row>
    <row r="39" customFormat="false" ht="22.35" hidden="false" customHeight="false" outlineLevel="0" collapsed="false">
      <c r="A39" s="6" t="n">
        <v>19</v>
      </c>
      <c r="B39" s="7" t="str">
        <f aca="false">IF($C$2="","",$C$2+A39-1)</f>
        <v/>
      </c>
      <c r="C39" s="6" t="str">
        <f aca="false">IF(B39="","",TEXT(B39,"ddd"))</f>
        <v/>
      </c>
      <c r="D39" s="6" t="s">
        <v>19</v>
      </c>
      <c r="E39" s="6" t="s">
        <v>28</v>
      </c>
      <c r="F39" s="6" t="s">
        <v>29</v>
      </c>
      <c r="G39" s="6" t="s">
        <v>204</v>
      </c>
      <c r="H39" s="6" t="s">
        <v>205</v>
      </c>
      <c r="I39" s="6" t="s">
        <v>206</v>
      </c>
      <c r="J39" s="6" t="s">
        <v>207</v>
      </c>
      <c r="K39" s="6" t="s">
        <v>208</v>
      </c>
      <c r="L39" s="6" t="s">
        <v>192</v>
      </c>
      <c r="M39" s="6" t="s">
        <v>209</v>
      </c>
      <c r="N39" s="8" t="s">
        <v>27</v>
      </c>
      <c r="O39" s="8"/>
      <c r="P39" s="6"/>
    </row>
    <row r="40" customFormat="false" ht="32.8" hidden="false" customHeight="false" outlineLevel="0" collapsed="false">
      <c r="A40" s="6" t="n">
        <v>20</v>
      </c>
      <c r="B40" s="7" t="str">
        <f aca="false">IF($C$2="","",$C$2+A40-1)</f>
        <v/>
      </c>
      <c r="C40" s="6" t="str">
        <f aca="false">IF(B40="","",TEXT(B40,"ddd"))</f>
        <v/>
      </c>
      <c r="D40" s="6" t="s">
        <v>19</v>
      </c>
      <c r="E40" s="6" t="s">
        <v>50</v>
      </c>
      <c r="F40" s="6" t="s">
        <v>36</v>
      </c>
      <c r="G40" s="6" t="s">
        <v>210</v>
      </c>
      <c r="H40" s="6" t="s">
        <v>211</v>
      </c>
      <c r="I40" s="6"/>
      <c r="J40" s="6" t="s">
        <v>197</v>
      </c>
      <c r="K40" s="6" t="s">
        <v>212</v>
      </c>
      <c r="L40" s="6" t="s">
        <v>48</v>
      </c>
      <c r="M40" s="6" t="s">
        <v>213</v>
      </c>
      <c r="N40" s="8" t="s">
        <v>27</v>
      </c>
      <c r="O40" s="8"/>
      <c r="P40" s="6"/>
    </row>
    <row r="41" customFormat="false" ht="22.35" hidden="false" customHeight="false" outlineLevel="0" collapsed="false">
      <c r="A41" s="6" t="n">
        <v>20</v>
      </c>
      <c r="B41" s="7" t="str">
        <f aca="false">IF($C$2="","",$C$2+A41-1)</f>
        <v/>
      </c>
      <c r="C41" s="6" t="str">
        <f aca="false">IF(B41="","",TEXT(B41,"ddd"))</f>
        <v/>
      </c>
      <c r="D41" s="6" t="s">
        <v>19</v>
      </c>
      <c r="E41" s="6" t="s">
        <v>28</v>
      </c>
      <c r="F41" s="6" t="s">
        <v>29</v>
      </c>
      <c r="G41" s="6" t="s">
        <v>214</v>
      </c>
      <c r="H41" s="6" t="s">
        <v>215</v>
      </c>
      <c r="I41" s="6" t="s">
        <v>216</v>
      </c>
      <c r="J41" s="6" t="s">
        <v>24</v>
      </c>
      <c r="K41" s="6" t="s">
        <v>217</v>
      </c>
      <c r="L41" s="6" t="s">
        <v>26</v>
      </c>
      <c r="M41" s="6" t="s">
        <v>218</v>
      </c>
      <c r="N41" s="8" t="s">
        <v>27</v>
      </c>
      <c r="O41" s="8"/>
      <c r="P41" s="6"/>
    </row>
    <row r="42" customFormat="false" ht="126.85" hidden="false" customHeight="false" outlineLevel="0" collapsed="false">
      <c r="A42" s="6" t="n">
        <v>21</v>
      </c>
      <c r="B42" s="7" t="str">
        <f aca="false">IF($C$2="","",$C$2+A42-1)</f>
        <v/>
      </c>
      <c r="C42" s="6" t="str">
        <f aca="false">IF(B42="","",TEXT(B42,"ddd"))</f>
        <v/>
      </c>
      <c r="D42" s="6" t="s">
        <v>19</v>
      </c>
      <c r="E42" s="6" t="s">
        <v>20</v>
      </c>
      <c r="F42" s="6" t="s">
        <v>21</v>
      </c>
      <c r="G42" s="6" t="s">
        <v>219</v>
      </c>
      <c r="H42" s="6" t="s">
        <v>220</v>
      </c>
      <c r="I42" s="6"/>
      <c r="J42" s="6" t="s">
        <v>102</v>
      </c>
      <c r="K42" s="6" t="s">
        <v>221</v>
      </c>
      <c r="L42" s="6" t="s">
        <v>61</v>
      </c>
      <c r="M42" s="6"/>
      <c r="N42" s="8" t="s">
        <v>27</v>
      </c>
      <c r="O42" s="8"/>
      <c r="P42" s="6"/>
    </row>
    <row r="43" customFormat="false" ht="22.35" hidden="false" customHeight="false" outlineLevel="0" collapsed="false">
      <c r="A43" s="6" t="n">
        <v>21</v>
      </c>
      <c r="B43" s="7" t="str">
        <f aca="false">IF($C$2="","",$C$2+A43-1)</f>
        <v/>
      </c>
      <c r="C43" s="6" t="str">
        <f aca="false">IF(B43="","",TEXT(B43,"ddd"))</f>
        <v/>
      </c>
      <c r="D43" s="6" t="s">
        <v>19</v>
      </c>
      <c r="E43" s="6" t="s">
        <v>28</v>
      </c>
      <c r="F43" s="6" t="s">
        <v>29</v>
      </c>
      <c r="G43" s="6" t="s">
        <v>222</v>
      </c>
      <c r="H43" s="6" t="s">
        <v>223</v>
      </c>
      <c r="I43" s="6" t="s">
        <v>224</v>
      </c>
      <c r="J43" s="6" t="s">
        <v>116</v>
      </c>
      <c r="K43" s="6" t="s">
        <v>225</v>
      </c>
      <c r="L43" s="6" t="s">
        <v>41</v>
      </c>
      <c r="M43" s="6" t="s">
        <v>226</v>
      </c>
      <c r="N43" s="8" t="s">
        <v>27</v>
      </c>
      <c r="O43" s="8"/>
      <c r="P43" s="6"/>
    </row>
    <row r="44" customFormat="false" ht="95.5" hidden="false" customHeight="false" outlineLevel="0" collapsed="false">
      <c r="A44" s="6" t="n">
        <v>22</v>
      </c>
      <c r="B44" s="7" t="str">
        <f aca="false">IF($C$2="","",$C$2+A44-1)</f>
        <v/>
      </c>
      <c r="C44" s="6" t="str">
        <f aca="false">IF(B44="","",TEXT(B44,"ddd"))</f>
        <v/>
      </c>
      <c r="D44" s="6" t="s">
        <v>19</v>
      </c>
      <c r="E44" s="6" t="s">
        <v>35</v>
      </c>
      <c r="F44" s="6" t="s">
        <v>36</v>
      </c>
      <c r="G44" s="6" t="s">
        <v>227</v>
      </c>
      <c r="H44" s="6" t="s">
        <v>228</v>
      </c>
      <c r="I44" s="6"/>
      <c r="J44" s="6" t="s">
        <v>229</v>
      </c>
      <c r="K44" s="6" t="s">
        <v>230</v>
      </c>
      <c r="L44" s="6" t="s">
        <v>192</v>
      </c>
      <c r="M44" s="6" t="s">
        <v>231</v>
      </c>
      <c r="N44" s="8" t="s">
        <v>27</v>
      </c>
      <c r="O44" s="8"/>
      <c r="P44" s="6"/>
    </row>
    <row r="45" customFormat="false" ht="22.35" hidden="false" customHeight="false" outlineLevel="0" collapsed="false">
      <c r="A45" s="6" t="n">
        <v>22</v>
      </c>
      <c r="B45" s="7" t="str">
        <f aca="false">IF($C$2="","",$C$2+A45-1)</f>
        <v/>
      </c>
      <c r="C45" s="6" t="str">
        <f aca="false">IF(B45="","",TEXT(B45,"ddd"))</f>
        <v/>
      </c>
      <c r="D45" s="6" t="s">
        <v>19</v>
      </c>
      <c r="E45" s="6" t="s">
        <v>28</v>
      </c>
      <c r="F45" s="6" t="s">
        <v>29</v>
      </c>
      <c r="G45" s="6" t="s">
        <v>232</v>
      </c>
      <c r="H45" s="6" t="s">
        <v>233</v>
      </c>
      <c r="I45" s="6" t="s">
        <v>234</v>
      </c>
      <c r="J45" s="6" t="s">
        <v>235</v>
      </c>
      <c r="K45" s="6" t="s">
        <v>236</v>
      </c>
      <c r="L45" s="6" t="s">
        <v>88</v>
      </c>
      <c r="M45" s="6" t="s">
        <v>237</v>
      </c>
      <c r="N45" s="8" t="s">
        <v>27</v>
      </c>
      <c r="O45" s="8"/>
      <c r="P45" s="6"/>
    </row>
    <row r="46" customFormat="false" ht="22.35" hidden="false" customHeight="false" outlineLevel="0" collapsed="false">
      <c r="A46" s="6" t="n">
        <v>23</v>
      </c>
      <c r="B46" s="7" t="str">
        <f aca="false">IF($C$2="","",$C$2+A46-1)</f>
        <v/>
      </c>
      <c r="C46" s="6" t="str">
        <f aca="false">IF(B46="","",TEXT(B46,"ddd"))</f>
        <v/>
      </c>
      <c r="D46" s="6" t="s">
        <v>19</v>
      </c>
      <c r="E46" s="6" t="s">
        <v>50</v>
      </c>
      <c r="F46" s="6" t="s">
        <v>51</v>
      </c>
      <c r="G46" s="6" t="s">
        <v>238</v>
      </c>
      <c r="H46" s="6" t="s">
        <v>239</v>
      </c>
      <c r="I46" s="6"/>
      <c r="J46" s="6" t="s">
        <v>181</v>
      </c>
      <c r="K46" s="6" t="s">
        <v>240</v>
      </c>
      <c r="L46" s="6" t="s">
        <v>88</v>
      </c>
      <c r="M46" s="6" t="s">
        <v>241</v>
      </c>
      <c r="N46" s="8" t="s">
        <v>27</v>
      </c>
      <c r="O46" s="8"/>
      <c r="P46" s="6"/>
    </row>
    <row r="47" customFormat="false" ht="22.35" hidden="false" customHeight="false" outlineLevel="0" collapsed="false">
      <c r="A47" s="6" t="n">
        <v>23</v>
      </c>
      <c r="B47" s="7" t="str">
        <f aca="false">IF($C$2="","",$C$2+A47-1)</f>
        <v/>
      </c>
      <c r="C47" s="6" t="str">
        <f aca="false">IF(B47="","",TEXT(B47,"ddd"))</f>
        <v/>
      </c>
      <c r="D47" s="6" t="s">
        <v>19</v>
      </c>
      <c r="E47" s="6" t="s">
        <v>28</v>
      </c>
      <c r="F47" s="6" t="s">
        <v>29</v>
      </c>
      <c r="G47" s="6" t="s">
        <v>242</v>
      </c>
      <c r="H47" s="6" t="s">
        <v>243</v>
      </c>
      <c r="I47" s="6" t="s">
        <v>244</v>
      </c>
      <c r="J47" s="6" t="s">
        <v>59</v>
      </c>
      <c r="K47" s="6" t="s">
        <v>245</v>
      </c>
      <c r="L47" s="6" t="s">
        <v>61</v>
      </c>
      <c r="M47" s="6" t="s">
        <v>246</v>
      </c>
      <c r="N47" s="8" t="s">
        <v>27</v>
      </c>
      <c r="O47" s="8"/>
      <c r="P47" s="6"/>
    </row>
    <row r="48" customFormat="false" ht="22.35" hidden="false" customHeight="false" outlineLevel="0" collapsed="false">
      <c r="A48" s="6" t="n">
        <v>24</v>
      </c>
      <c r="B48" s="7" t="str">
        <f aca="false">IF($C$2="","",$C$2+A48-1)</f>
        <v/>
      </c>
      <c r="C48" s="6" t="str">
        <f aca="false">IF(B48="","",TEXT(B48,"ddd"))</f>
        <v/>
      </c>
      <c r="D48" s="6" t="s">
        <v>19</v>
      </c>
      <c r="E48" s="6" t="s">
        <v>28</v>
      </c>
      <c r="F48" s="6" t="s">
        <v>29</v>
      </c>
      <c r="G48" s="6" t="s">
        <v>247</v>
      </c>
      <c r="H48" s="6" t="s">
        <v>248</v>
      </c>
      <c r="I48" s="6" t="s">
        <v>249</v>
      </c>
      <c r="J48" s="6" t="s">
        <v>250</v>
      </c>
      <c r="K48" s="6" t="s">
        <v>251</v>
      </c>
      <c r="L48" s="6" t="s">
        <v>192</v>
      </c>
      <c r="M48" s="6" t="s">
        <v>252</v>
      </c>
      <c r="N48" s="8" t="s">
        <v>27</v>
      </c>
      <c r="O48" s="8"/>
      <c r="P48" s="6"/>
    </row>
    <row r="49" customFormat="false" ht="105.95" hidden="false" customHeight="false" outlineLevel="0" collapsed="false">
      <c r="A49" s="6" t="n">
        <v>25</v>
      </c>
      <c r="B49" s="7" t="str">
        <f aca="false">IF($C$2="","",$C$2+A49-1)</f>
        <v/>
      </c>
      <c r="C49" s="6" t="str">
        <f aca="false">IF(B49="","",TEXT(B49,"ddd"))</f>
        <v/>
      </c>
      <c r="D49" s="6" t="s">
        <v>19</v>
      </c>
      <c r="E49" s="6" t="s">
        <v>20</v>
      </c>
      <c r="F49" s="6" t="s">
        <v>21</v>
      </c>
      <c r="G49" s="6" t="s">
        <v>253</v>
      </c>
      <c r="H49" s="6" t="s">
        <v>254</v>
      </c>
      <c r="I49" s="6"/>
      <c r="J49" s="6" t="s">
        <v>197</v>
      </c>
      <c r="K49" s="6" t="s">
        <v>255</v>
      </c>
      <c r="L49" s="6" t="s">
        <v>48</v>
      </c>
      <c r="M49" s="6"/>
      <c r="N49" s="8" t="s">
        <v>27</v>
      </c>
      <c r="O49" s="8"/>
      <c r="P49" s="6"/>
    </row>
    <row r="50" customFormat="false" ht="22.35" hidden="false" customHeight="false" outlineLevel="0" collapsed="false">
      <c r="A50" s="6" t="n">
        <v>25</v>
      </c>
      <c r="B50" s="7" t="str">
        <f aca="false">IF($C$2="","",$C$2+A50-1)</f>
        <v/>
      </c>
      <c r="C50" s="6" t="str">
        <f aca="false">IF(B50="","",TEXT(B50,"ddd"))</f>
        <v/>
      </c>
      <c r="D50" s="6" t="s">
        <v>19</v>
      </c>
      <c r="E50" s="6" t="s">
        <v>28</v>
      </c>
      <c r="F50" s="6" t="s">
        <v>29</v>
      </c>
      <c r="G50" s="6" t="s">
        <v>256</v>
      </c>
      <c r="H50" s="6" t="s">
        <v>257</v>
      </c>
      <c r="I50" s="6" t="s">
        <v>258</v>
      </c>
      <c r="J50" s="6" t="s">
        <v>46</v>
      </c>
      <c r="K50" s="6" t="s">
        <v>259</v>
      </c>
      <c r="L50" s="6" t="s">
        <v>48</v>
      </c>
      <c r="M50" s="6" t="s">
        <v>260</v>
      </c>
      <c r="N50" s="8" t="s">
        <v>27</v>
      </c>
      <c r="O50" s="8"/>
      <c r="P50" s="6"/>
    </row>
    <row r="51" customFormat="false" ht="43.25" hidden="false" customHeight="false" outlineLevel="0" collapsed="false">
      <c r="A51" s="6" t="n">
        <v>26</v>
      </c>
      <c r="B51" s="7" t="str">
        <f aca="false">IF($C$2="","",$C$2+A51-1)</f>
        <v/>
      </c>
      <c r="C51" s="6" t="str">
        <f aca="false">IF(B51="","",TEXT(B51,"ddd"))</f>
        <v/>
      </c>
      <c r="D51" s="6" t="s">
        <v>19</v>
      </c>
      <c r="E51" s="6" t="s">
        <v>20</v>
      </c>
      <c r="F51" s="6" t="s">
        <v>36</v>
      </c>
      <c r="G51" s="6" t="s">
        <v>261</v>
      </c>
      <c r="H51" s="6" t="s">
        <v>262</v>
      </c>
      <c r="I51" s="6"/>
      <c r="J51" s="6" t="s">
        <v>263</v>
      </c>
      <c r="K51" s="6" t="s">
        <v>264</v>
      </c>
      <c r="L51" s="6" t="s">
        <v>41</v>
      </c>
      <c r="M51" s="6" t="s">
        <v>265</v>
      </c>
      <c r="N51" s="8" t="s">
        <v>27</v>
      </c>
      <c r="O51" s="8"/>
      <c r="P51" s="6"/>
    </row>
    <row r="52" customFormat="false" ht="22.35" hidden="false" customHeight="false" outlineLevel="0" collapsed="false">
      <c r="A52" s="6" t="n">
        <v>26</v>
      </c>
      <c r="B52" s="7" t="str">
        <f aca="false">IF($C$2="","",$C$2+A52-1)</f>
        <v/>
      </c>
      <c r="C52" s="6" t="str">
        <f aca="false">IF(B52="","",TEXT(B52,"ddd"))</f>
        <v/>
      </c>
      <c r="D52" s="6" t="s">
        <v>19</v>
      </c>
      <c r="E52" s="6" t="s">
        <v>28</v>
      </c>
      <c r="F52" s="6" t="s">
        <v>29</v>
      </c>
      <c r="G52" s="6" t="s">
        <v>266</v>
      </c>
      <c r="H52" s="6" t="s">
        <v>267</v>
      </c>
      <c r="I52" s="6" t="s">
        <v>268</v>
      </c>
      <c r="J52" s="6" t="s">
        <v>269</v>
      </c>
      <c r="K52" s="6" t="s">
        <v>270</v>
      </c>
      <c r="L52" s="6" t="s">
        <v>192</v>
      </c>
      <c r="M52" s="6" t="s">
        <v>271</v>
      </c>
      <c r="N52" s="8" t="s">
        <v>27</v>
      </c>
      <c r="O52" s="8"/>
      <c r="P52" s="6"/>
    </row>
    <row r="53" customFormat="false" ht="22.35" hidden="false" customHeight="false" outlineLevel="0" collapsed="false">
      <c r="A53" s="6" t="n">
        <v>27</v>
      </c>
      <c r="B53" s="7" t="str">
        <f aca="false">IF($C$2="","",$C$2+A53-1)</f>
        <v/>
      </c>
      <c r="C53" s="6" t="str">
        <f aca="false">IF(B53="","",TEXT(B53,"ddd"))</f>
        <v/>
      </c>
      <c r="D53" s="6" t="s">
        <v>19</v>
      </c>
      <c r="E53" s="6" t="s">
        <v>50</v>
      </c>
      <c r="F53" s="6" t="s">
        <v>51</v>
      </c>
      <c r="G53" s="6" t="s">
        <v>272</v>
      </c>
      <c r="H53" s="6" t="s">
        <v>273</v>
      </c>
      <c r="I53" s="6"/>
      <c r="J53" s="6" t="s">
        <v>250</v>
      </c>
      <c r="K53" s="6" t="s">
        <v>274</v>
      </c>
      <c r="L53" s="6" t="s">
        <v>192</v>
      </c>
      <c r="M53" s="6" t="s">
        <v>275</v>
      </c>
      <c r="N53" s="8" t="s">
        <v>27</v>
      </c>
      <c r="O53" s="8"/>
      <c r="P53" s="6"/>
    </row>
    <row r="54" customFormat="false" ht="22.35" hidden="false" customHeight="false" outlineLevel="0" collapsed="false">
      <c r="A54" s="6" t="n">
        <v>27</v>
      </c>
      <c r="B54" s="7" t="str">
        <f aca="false">IF($C$2="","",$C$2+A54-1)</f>
        <v/>
      </c>
      <c r="C54" s="6" t="str">
        <f aca="false">IF(B54="","",TEXT(B54,"ddd"))</f>
        <v/>
      </c>
      <c r="D54" s="6" t="s">
        <v>19</v>
      </c>
      <c r="E54" s="6" t="s">
        <v>28</v>
      </c>
      <c r="F54" s="6" t="s">
        <v>29</v>
      </c>
      <c r="G54" s="6" t="s">
        <v>276</v>
      </c>
      <c r="H54" s="6" t="s">
        <v>277</v>
      </c>
      <c r="I54" s="6" t="s">
        <v>278</v>
      </c>
      <c r="J54" s="6" t="s">
        <v>75</v>
      </c>
      <c r="K54" s="6" t="s">
        <v>279</v>
      </c>
      <c r="L54" s="6" t="s">
        <v>26</v>
      </c>
      <c r="M54" s="6" t="s">
        <v>280</v>
      </c>
      <c r="N54" s="8" t="s">
        <v>27</v>
      </c>
      <c r="O54" s="8"/>
      <c r="P54" s="6"/>
    </row>
    <row r="55" customFormat="false" ht="22.35" hidden="false" customHeight="false" outlineLevel="0" collapsed="false">
      <c r="A55" s="6" t="n">
        <v>28</v>
      </c>
      <c r="B55" s="7" t="str">
        <f aca="false">IF($C$2="","",$C$2+A55-1)</f>
        <v/>
      </c>
      <c r="C55" s="6" t="str">
        <f aca="false">IF(B55="","",TEXT(B55,"ddd"))</f>
        <v/>
      </c>
      <c r="D55" s="6" t="s">
        <v>19</v>
      </c>
      <c r="E55" s="6" t="s">
        <v>28</v>
      </c>
      <c r="F55" s="6" t="s">
        <v>29</v>
      </c>
      <c r="G55" s="6" t="s">
        <v>281</v>
      </c>
      <c r="H55" s="6" t="s">
        <v>282</v>
      </c>
      <c r="I55" s="6" t="s">
        <v>283</v>
      </c>
      <c r="J55" s="6" t="s">
        <v>197</v>
      </c>
      <c r="K55" s="6" t="s">
        <v>284</v>
      </c>
      <c r="L55" s="6" t="s">
        <v>48</v>
      </c>
      <c r="M55" s="6" t="s">
        <v>285</v>
      </c>
      <c r="N55" s="8" t="s">
        <v>27</v>
      </c>
      <c r="O55" s="8"/>
      <c r="P55" s="6"/>
    </row>
    <row r="56" customFormat="false" ht="105.95" hidden="false" customHeight="false" outlineLevel="0" collapsed="false">
      <c r="A56" s="6" t="n">
        <v>29</v>
      </c>
      <c r="B56" s="7" t="str">
        <f aca="false">IF($C$2="","",$C$2+A56-1)</f>
        <v/>
      </c>
      <c r="C56" s="6" t="str">
        <f aca="false">IF(B56="","",TEXT(B56,"ddd"))</f>
        <v/>
      </c>
      <c r="D56" s="6" t="s">
        <v>19</v>
      </c>
      <c r="E56" s="6" t="s">
        <v>20</v>
      </c>
      <c r="F56" s="6" t="s">
        <v>21</v>
      </c>
      <c r="G56" s="6" t="s">
        <v>286</v>
      </c>
      <c r="H56" s="6" t="s">
        <v>287</v>
      </c>
      <c r="I56" s="6"/>
      <c r="J56" s="6" t="s">
        <v>141</v>
      </c>
      <c r="K56" s="6" t="s">
        <v>288</v>
      </c>
      <c r="L56" s="6" t="s">
        <v>88</v>
      </c>
      <c r="M56" s="6"/>
      <c r="N56" s="8" t="s">
        <v>27</v>
      </c>
      <c r="O56" s="8"/>
      <c r="P56" s="6"/>
    </row>
    <row r="57" customFormat="false" ht="22.35" hidden="false" customHeight="false" outlineLevel="0" collapsed="false">
      <c r="A57" s="6" t="n">
        <v>29</v>
      </c>
      <c r="B57" s="7" t="str">
        <f aca="false">IF($C$2="","",$C$2+A57-1)</f>
        <v/>
      </c>
      <c r="C57" s="6" t="str">
        <f aca="false">IF(B57="","",TEXT(B57,"ddd"))</f>
        <v/>
      </c>
      <c r="D57" s="6" t="s">
        <v>19</v>
      </c>
      <c r="E57" s="6" t="s">
        <v>28</v>
      </c>
      <c r="F57" s="6" t="s">
        <v>29</v>
      </c>
      <c r="G57" s="6" t="s">
        <v>289</v>
      </c>
      <c r="H57" s="6" t="s">
        <v>290</v>
      </c>
      <c r="I57" s="6" t="s">
        <v>291</v>
      </c>
      <c r="J57" s="6" t="s">
        <v>141</v>
      </c>
      <c r="K57" s="6" t="s">
        <v>292</v>
      </c>
      <c r="L57" s="6" t="s">
        <v>88</v>
      </c>
      <c r="M57" s="6" t="s">
        <v>293</v>
      </c>
      <c r="N57" s="8" t="s">
        <v>27</v>
      </c>
      <c r="O57" s="8"/>
      <c r="P57" s="6"/>
    </row>
    <row r="58" customFormat="false" ht="64.15" hidden="false" customHeight="false" outlineLevel="0" collapsed="false">
      <c r="A58" s="6" t="n">
        <v>30</v>
      </c>
      <c r="B58" s="7" t="str">
        <f aca="false">IF($C$2="","",$C$2+A58-1)</f>
        <v/>
      </c>
      <c r="C58" s="6" t="str">
        <f aca="false">IF(B58="","",TEXT(B58,"ddd"))</f>
        <v/>
      </c>
      <c r="D58" s="6" t="s">
        <v>19</v>
      </c>
      <c r="E58" s="6" t="s">
        <v>35</v>
      </c>
      <c r="F58" s="6" t="s">
        <v>36</v>
      </c>
      <c r="G58" s="6" t="s">
        <v>294</v>
      </c>
      <c r="H58" s="6" t="s">
        <v>295</v>
      </c>
      <c r="I58" s="6"/>
      <c r="J58" s="6" t="s">
        <v>39</v>
      </c>
      <c r="K58" s="6" t="s">
        <v>296</v>
      </c>
      <c r="L58" s="6" t="s">
        <v>41</v>
      </c>
      <c r="M58" s="6" t="s">
        <v>297</v>
      </c>
      <c r="N58" s="8" t="s">
        <v>27</v>
      </c>
      <c r="O58" s="8"/>
      <c r="P58" s="6"/>
    </row>
    <row r="59" customFormat="false" ht="22.35" hidden="false" customHeight="false" outlineLevel="0" collapsed="false">
      <c r="A59" s="6" t="n">
        <v>30</v>
      </c>
      <c r="B59" s="7" t="str">
        <f aca="false">IF($C$2="","",$C$2+A59-1)</f>
        <v/>
      </c>
      <c r="C59" s="6" t="str">
        <f aca="false">IF(B59="","",TEXT(B59,"ddd"))</f>
        <v/>
      </c>
      <c r="D59" s="6" t="s">
        <v>19</v>
      </c>
      <c r="E59" s="6" t="s">
        <v>28</v>
      </c>
      <c r="F59" s="6" t="s">
        <v>29</v>
      </c>
      <c r="G59" s="6" t="s">
        <v>298</v>
      </c>
      <c r="H59" s="6" t="s">
        <v>299</v>
      </c>
      <c r="I59" s="6" t="s">
        <v>300</v>
      </c>
      <c r="J59" s="6" t="s">
        <v>39</v>
      </c>
      <c r="K59" s="6" t="s">
        <v>301</v>
      </c>
      <c r="L59" s="6" t="s">
        <v>41</v>
      </c>
      <c r="M59" s="6" t="s">
        <v>302</v>
      </c>
      <c r="N59" s="8" t="s">
        <v>27</v>
      </c>
      <c r="O59" s="8"/>
      <c r="P59" s="6"/>
    </row>
    <row r="60" customFormat="false" ht="137.3" hidden="false" customHeight="false" outlineLevel="0" collapsed="false">
      <c r="A60" s="6" t="n">
        <v>31</v>
      </c>
      <c r="B60" s="7" t="str">
        <f aca="false">IF($C$2="","",$C$2+A60-1)</f>
        <v/>
      </c>
      <c r="C60" s="6" t="str">
        <f aca="false">IF(B60="","",TEXT(B60,"ddd"))</f>
        <v/>
      </c>
      <c r="D60" s="6" t="s">
        <v>303</v>
      </c>
      <c r="E60" s="6" t="s">
        <v>20</v>
      </c>
      <c r="F60" s="6" t="s">
        <v>21</v>
      </c>
      <c r="G60" s="6" t="s">
        <v>304</v>
      </c>
      <c r="H60" s="6" t="s">
        <v>305</v>
      </c>
      <c r="I60" s="6"/>
      <c r="J60" s="6"/>
      <c r="K60" s="6" t="s">
        <v>306</v>
      </c>
      <c r="L60" s="6" t="s">
        <v>48</v>
      </c>
      <c r="M60" s="6"/>
      <c r="N60" s="8" t="s">
        <v>27</v>
      </c>
      <c r="O60" s="8"/>
      <c r="P60" s="6"/>
    </row>
    <row r="61" customFormat="false" ht="22.35" hidden="false" customHeight="false" outlineLevel="0" collapsed="false">
      <c r="A61" s="6" t="n">
        <v>31</v>
      </c>
      <c r="B61" s="7" t="str">
        <f aca="false">IF($C$2="","",$C$2+A61-1)</f>
        <v/>
      </c>
      <c r="C61" s="6" t="str">
        <f aca="false">IF(B61="","",TEXT(B61,"ddd"))</f>
        <v/>
      </c>
      <c r="D61" s="6" t="s">
        <v>303</v>
      </c>
      <c r="E61" s="6" t="s">
        <v>28</v>
      </c>
      <c r="F61" s="6" t="s">
        <v>29</v>
      </c>
      <c r="G61" s="6" t="s">
        <v>307</v>
      </c>
      <c r="H61" s="6" t="s">
        <v>308</v>
      </c>
      <c r="I61" s="6" t="s">
        <v>309</v>
      </c>
      <c r="J61" s="6" t="s">
        <v>310</v>
      </c>
      <c r="K61" s="6" t="s">
        <v>311</v>
      </c>
      <c r="L61" s="6" t="s">
        <v>41</v>
      </c>
      <c r="M61" s="6" t="s">
        <v>312</v>
      </c>
      <c r="N61" s="8" t="s">
        <v>27</v>
      </c>
      <c r="O61" s="8"/>
      <c r="P61" s="6"/>
    </row>
    <row r="62" customFormat="false" ht="22.35" hidden="false" customHeight="false" outlineLevel="0" collapsed="false">
      <c r="A62" s="6" t="n">
        <v>32</v>
      </c>
      <c r="B62" s="7" t="str">
        <f aca="false">IF($C$2="","",$C$2+A62-1)</f>
        <v/>
      </c>
      <c r="C62" s="6" t="str">
        <f aca="false">IF(B62="","",TEXT(B62,"ddd"))</f>
        <v/>
      </c>
      <c r="D62" s="6" t="s">
        <v>303</v>
      </c>
      <c r="E62" s="6" t="s">
        <v>50</v>
      </c>
      <c r="F62" s="6" t="s">
        <v>51</v>
      </c>
      <c r="G62" s="6" t="s">
        <v>313</v>
      </c>
      <c r="H62" s="6" t="s">
        <v>314</v>
      </c>
      <c r="I62" s="6"/>
      <c r="J62" s="6"/>
      <c r="K62" s="6" t="s">
        <v>315</v>
      </c>
      <c r="L62" s="6" t="s">
        <v>48</v>
      </c>
      <c r="M62" s="6" t="s">
        <v>316</v>
      </c>
      <c r="N62" s="8" t="s">
        <v>27</v>
      </c>
      <c r="O62" s="8"/>
      <c r="P62" s="6"/>
    </row>
    <row r="63" customFormat="false" ht="22.35" hidden="false" customHeight="false" outlineLevel="0" collapsed="false">
      <c r="A63" s="6" t="n">
        <v>32</v>
      </c>
      <c r="B63" s="7" t="str">
        <f aca="false">IF($C$2="","",$C$2+A63-1)</f>
        <v/>
      </c>
      <c r="C63" s="6" t="str">
        <f aca="false">IF(B63="","",TEXT(B63,"ddd"))</f>
        <v/>
      </c>
      <c r="D63" s="6" t="s">
        <v>303</v>
      </c>
      <c r="E63" s="6" t="s">
        <v>28</v>
      </c>
      <c r="F63" s="6" t="s">
        <v>29</v>
      </c>
      <c r="G63" s="6" t="s">
        <v>317</v>
      </c>
      <c r="H63" s="6" t="s">
        <v>318</v>
      </c>
      <c r="I63" s="6" t="s">
        <v>319</v>
      </c>
      <c r="J63" s="6" t="s">
        <v>310</v>
      </c>
      <c r="K63" s="6" t="s">
        <v>320</v>
      </c>
      <c r="L63" s="6" t="s">
        <v>61</v>
      </c>
      <c r="M63" s="6" t="s">
        <v>321</v>
      </c>
      <c r="N63" s="8" t="s">
        <v>27</v>
      </c>
      <c r="O63" s="8"/>
      <c r="P63" s="6"/>
    </row>
    <row r="64" customFormat="false" ht="116.4" hidden="false" customHeight="false" outlineLevel="0" collapsed="false">
      <c r="A64" s="6" t="n">
        <v>33</v>
      </c>
      <c r="B64" s="7" t="str">
        <f aca="false">IF($C$2="","",$C$2+A64-1)</f>
        <v/>
      </c>
      <c r="C64" s="6" t="str">
        <f aca="false">IF(B64="","",TEXT(B64,"ddd"))</f>
        <v/>
      </c>
      <c r="D64" s="6" t="s">
        <v>303</v>
      </c>
      <c r="E64" s="6" t="s">
        <v>20</v>
      </c>
      <c r="F64" s="6" t="s">
        <v>21</v>
      </c>
      <c r="G64" s="6" t="s">
        <v>322</v>
      </c>
      <c r="H64" s="6" t="s">
        <v>323</v>
      </c>
      <c r="I64" s="6"/>
      <c r="J64" s="6"/>
      <c r="K64" s="6" t="s">
        <v>324</v>
      </c>
      <c r="L64" s="6" t="s">
        <v>61</v>
      </c>
      <c r="M64" s="6"/>
      <c r="N64" s="8" t="s">
        <v>27</v>
      </c>
      <c r="O64" s="8"/>
      <c r="P64" s="6"/>
    </row>
    <row r="65" customFormat="false" ht="22.35" hidden="false" customHeight="false" outlineLevel="0" collapsed="false">
      <c r="A65" s="6" t="n">
        <v>33</v>
      </c>
      <c r="B65" s="7" t="str">
        <f aca="false">IF($C$2="","",$C$2+A65-1)</f>
        <v/>
      </c>
      <c r="C65" s="6" t="str">
        <f aca="false">IF(B65="","",TEXT(B65,"ddd"))</f>
        <v/>
      </c>
      <c r="D65" s="6" t="s">
        <v>303</v>
      </c>
      <c r="E65" s="6" t="s">
        <v>28</v>
      </c>
      <c r="F65" s="6" t="s">
        <v>29</v>
      </c>
      <c r="G65" s="6" t="s">
        <v>325</v>
      </c>
      <c r="H65" s="6" t="s">
        <v>326</v>
      </c>
      <c r="I65" s="6" t="s">
        <v>327</v>
      </c>
      <c r="J65" s="6" t="s">
        <v>310</v>
      </c>
      <c r="K65" s="6" t="s">
        <v>328</v>
      </c>
      <c r="L65" s="6" t="s">
        <v>48</v>
      </c>
      <c r="M65" s="6" t="s">
        <v>329</v>
      </c>
      <c r="N65" s="8" t="s">
        <v>27</v>
      </c>
      <c r="O65" s="8"/>
      <c r="P65" s="6"/>
    </row>
    <row r="66" customFormat="false" ht="22.35" hidden="false" customHeight="false" outlineLevel="0" collapsed="false">
      <c r="A66" s="6" t="n">
        <v>34</v>
      </c>
      <c r="B66" s="7" t="str">
        <f aca="false">IF($C$2="","",$C$2+A66-1)</f>
        <v/>
      </c>
      <c r="C66" s="6" t="str">
        <f aca="false">IF(B66="","",TEXT(B66,"ddd"))</f>
        <v/>
      </c>
      <c r="D66" s="6" t="s">
        <v>303</v>
      </c>
      <c r="E66" s="6" t="s">
        <v>50</v>
      </c>
      <c r="F66" s="6" t="s">
        <v>51</v>
      </c>
      <c r="G66" s="6" t="s">
        <v>330</v>
      </c>
      <c r="H66" s="6" t="s">
        <v>331</v>
      </c>
      <c r="I66" s="6"/>
      <c r="J66" s="6"/>
      <c r="K66" s="6" t="s">
        <v>332</v>
      </c>
      <c r="L66" s="6" t="s">
        <v>88</v>
      </c>
      <c r="M66" s="6" t="s">
        <v>333</v>
      </c>
      <c r="N66" s="8" t="s">
        <v>27</v>
      </c>
      <c r="O66" s="8"/>
      <c r="P66" s="6"/>
    </row>
    <row r="67" customFormat="false" ht="22.35" hidden="false" customHeight="false" outlineLevel="0" collapsed="false">
      <c r="A67" s="6" t="n">
        <v>34</v>
      </c>
      <c r="B67" s="7" t="str">
        <f aca="false">IF($C$2="","",$C$2+A67-1)</f>
        <v/>
      </c>
      <c r="C67" s="6" t="str">
        <f aca="false">IF(B67="","",TEXT(B67,"ddd"))</f>
        <v/>
      </c>
      <c r="D67" s="6" t="s">
        <v>303</v>
      </c>
      <c r="E67" s="6" t="s">
        <v>28</v>
      </c>
      <c r="F67" s="6" t="s">
        <v>29</v>
      </c>
      <c r="G67" s="6" t="s">
        <v>334</v>
      </c>
      <c r="H67" s="6" t="s">
        <v>335</v>
      </c>
      <c r="I67" s="6" t="s">
        <v>336</v>
      </c>
      <c r="J67" s="6" t="s">
        <v>86</v>
      </c>
      <c r="K67" s="6" t="s">
        <v>337</v>
      </c>
      <c r="L67" s="6" t="s">
        <v>88</v>
      </c>
      <c r="M67" s="6" t="s">
        <v>338</v>
      </c>
      <c r="N67" s="8" t="s">
        <v>27</v>
      </c>
      <c r="O67" s="8"/>
      <c r="P67" s="6"/>
    </row>
    <row r="68" customFormat="false" ht="22.35" hidden="false" customHeight="false" outlineLevel="0" collapsed="false">
      <c r="A68" s="6" t="n">
        <v>35</v>
      </c>
      <c r="B68" s="7" t="str">
        <f aca="false">IF($C$2="","",$C$2+A68-1)</f>
        <v/>
      </c>
      <c r="C68" s="6" t="str">
        <f aca="false">IF(B68="","",TEXT(B68,"ddd"))</f>
        <v/>
      </c>
      <c r="D68" s="6" t="s">
        <v>303</v>
      </c>
      <c r="E68" s="6" t="s">
        <v>28</v>
      </c>
      <c r="F68" s="6" t="s">
        <v>29</v>
      </c>
      <c r="G68" s="6" t="s">
        <v>339</v>
      </c>
      <c r="H68" s="6" t="s">
        <v>340</v>
      </c>
      <c r="I68" s="6" t="s">
        <v>341</v>
      </c>
      <c r="J68" s="6" t="s">
        <v>310</v>
      </c>
      <c r="K68" s="6" t="s">
        <v>342</v>
      </c>
      <c r="L68" s="6" t="s">
        <v>61</v>
      </c>
      <c r="M68" s="6" t="s">
        <v>343</v>
      </c>
      <c r="N68" s="8" t="s">
        <v>27</v>
      </c>
      <c r="O68" s="8"/>
      <c r="P68" s="6"/>
    </row>
    <row r="69" customFormat="false" ht="126.85" hidden="false" customHeight="false" outlineLevel="0" collapsed="false">
      <c r="A69" s="6" t="n">
        <v>36</v>
      </c>
      <c r="B69" s="7" t="str">
        <f aca="false">IF($C$2="","",$C$2+A69-1)</f>
        <v/>
      </c>
      <c r="C69" s="6" t="str">
        <f aca="false">IF(B69="","",TEXT(B69,"ddd"))</f>
        <v/>
      </c>
      <c r="D69" s="6" t="s">
        <v>303</v>
      </c>
      <c r="E69" s="6" t="s">
        <v>20</v>
      </c>
      <c r="F69" s="6" t="s">
        <v>21</v>
      </c>
      <c r="G69" s="6" t="s">
        <v>344</v>
      </c>
      <c r="H69" s="6" t="s">
        <v>345</v>
      </c>
      <c r="I69" s="6"/>
      <c r="J69" s="6"/>
      <c r="K69" s="6" t="s">
        <v>346</v>
      </c>
      <c r="L69" s="6" t="s">
        <v>88</v>
      </c>
      <c r="M69" s="6"/>
      <c r="N69" s="8" t="s">
        <v>27</v>
      </c>
      <c r="O69" s="8"/>
      <c r="P69" s="6"/>
    </row>
    <row r="70" customFormat="false" ht="22.35" hidden="false" customHeight="false" outlineLevel="0" collapsed="false">
      <c r="A70" s="6" t="n">
        <v>36</v>
      </c>
      <c r="B70" s="7" t="str">
        <f aca="false">IF($C$2="","",$C$2+A70-1)</f>
        <v/>
      </c>
      <c r="C70" s="6" t="str">
        <f aca="false">IF(B70="","",TEXT(B70,"ddd"))</f>
        <v/>
      </c>
      <c r="D70" s="6" t="s">
        <v>303</v>
      </c>
      <c r="E70" s="6" t="s">
        <v>28</v>
      </c>
      <c r="F70" s="6" t="s">
        <v>29</v>
      </c>
      <c r="G70" s="6" t="s">
        <v>347</v>
      </c>
      <c r="H70" s="6" t="s">
        <v>348</v>
      </c>
      <c r="I70" s="6" t="s">
        <v>349</v>
      </c>
      <c r="J70" s="6" t="s">
        <v>39</v>
      </c>
      <c r="K70" s="6" t="s">
        <v>350</v>
      </c>
      <c r="L70" s="6" t="s">
        <v>48</v>
      </c>
      <c r="M70" s="6" t="s">
        <v>351</v>
      </c>
      <c r="N70" s="8" t="s">
        <v>27</v>
      </c>
      <c r="O70" s="8"/>
      <c r="P70" s="6"/>
    </row>
    <row r="71" customFormat="false" ht="95.5" hidden="false" customHeight="false" outlineLevel="0" collapsed="false">
      <c r="A71" s="6" t="n">
        <v>37</v>
      </c>
      <c r="B71" s="7" t="str">
        <f aca="false">IF($C$2="","",$C$2+A71-1)</f>
        <v/>
      </c>
      <c r="C71" s="6" t="str">
        <f aca="false">IF(B71="","",TEXT(B71,"ddd"))</f>
        <v/>
      </c>
      <c r="D71" s="6" t="s">
        <v>303</v>
      </c>
      <c r="E71" s="6" t="s">
        <v>35</v>
      </c>
      <c r="F71" s="6" t="s">
        <v>36</v>
      </c>
      <c r="G71" s="6" t="s">
        <v>352</v>
      </c>
      <c r="H71" s="6" t="s">
        <v>353</v>
      </c>
      <c r="I71" s="6"/>
      <c r="J71" s="6"/>
      <c r="K71" s="6" t="s">
        <v>354</v>
      </c>
      <c r="L71" s="6" t="s">
        <v>41</v>
      </c>
      <c r="M71" s="6" t="s">
        <v>355</v>
      </c>
      <c r="N71" s="8" t="s">
        <v>27</v>
      </c>
      <c r="O71" s="8"/>
      <c r="P71" s="6"/>
    </row>
    <row r="72" customFormat="false" ht="22.35" hidden="false" customHeight="false" outlineLevel="0" collapsed="false">
      <c r="A72" s="6" t="n">
        <v>37</v>
      </c>
      <c r="B72" s="7" t="str">
        <f aca="false">IF($C$2="","",$C$2+A72-1)</f>
        <v/>
      </c>
      <c r="C72" s="6" t="str">
        <f aca="false">IF(B72="","",TEXT(B72,"ddd"))</f>
        <v/>
      </c>
      <c r="D72" s="6" t="s">
        <v>303</v>
      </c>
      <c r="E72" s="6" t="s">
        <v>28</v>
      </c>
      <c r="F72" s="6" t="s">
        <v>29</v>
      </c>
      <c r="G72" s="6" t="s">
        <v>356</v>
      </c>
      <c r="H72" s="6" t="s">
        <v>357</v>
      </c>
      <c r="I72" s="6" t="s">
        <v>358</v>
      </c>
      <c r="J72" s="6" t="s">
        <v>310</v>
      </c>
      <c r="K72" s="6" t="s">
        <v>359</v>
      </c>
      <c r="L72" s="6" t="s">
        <v>41</v>
      </c>
      <c r="M72" s="6" t="s">
        <v>360</v>
      </c>
      <c r="N72" s="8" t="s">
        <v>27</v>
      </c>
      <c r="O72" s="8"/>
      <c r="P72" s="6"/>
    </row>
    <row r="73" customFormat="false" ht="85.05" hidden="false" customHeight="false" outlineLevel="0" collapsed="false">
      <c r="A73" s="6" t="n">
        <v>38</v>
      </c>
      <c r="B73" s="7" t="str">
        <f aca="false">IF($C$2="","",$C$2+A73-1)</f>
        <v/>
      </c>
      <c r="C73" s="6" t="str">
        <f aca="false">IF(B73="","",TEXT(B73,"ddd"))</f>
        <v/>
      </c>
      <c r="D73" s="6" t="s">
        <v>303</v>
      </c>
      <c r="E73" s="6" t="s">
        <v>35</v>
      </c>
      <c r="F73" s="6" t="s">
        <v>36</v>
      </c>
      <c r="G73" s="6" t="s">
        <v>361</v>
      </c>
      <c r="H73" s="6" t="s">
        <v>362</v>
      </c>
      <c r="I73" s="6"/>
      <c r="J73" s="6"/>
      <c r="K73" s="6" t="s">
        <v>363</v>
      </c>
      <c r="L73" s="6" t="s">
        <v>41</v>
      </c>
      <c r="M73" s="6" t="s">
        <v>364</v>
      </c>
      <c r="N73" s="8" t="s">
        <v>27</v>
      </c>
      <c r="O73" s="8"/>
      <c r="P73" s="6"/>
    </row>
    <row r="74" customFormat="false" ht="22.35" hidden="false" customHeight="false" outlineLevel="0" collapsed="false">
      <c r="A74" s="6" t="n">
        <v>38</v>
      </c>
      <c r="B74" s="7" t="str">
        <f aca="false">IF($C$2="","",$C$2+A74-1)</f>
        <v/>
      </c>
      <c r="C74" s="6" t="str">
        <f aca="false">IF(B74="","",TEXT(B74,"ddd"))</f>
        <v/>
      </c>
      <c r="D74" s="6" t="s">
        <v>303</v>
      </c>
      <c r="E74" s="6" t="s">
        <v>28</v>
      </c>
      <c r="F74" s="6" t="s">
        <v>29</v>
      </c>
      <c r="G74" s="6" t="s">
        <v>365</v>
      </c>
      <c r="H74" s="6" t="s">
        <v>362</v>
      </c>
      <c r="I74" s="6" t="s">
        <v>366</v>
      </c>
      <c r="J74" s="6" t="s">
        <v>310</v>
      </c>
      <c r="K74" s="6" t="s">
        <v>367</v>
      </c>
      <c r="L74" s="6" t="s">
        <v>41</v>
      </c>
      <c r="M74" s="6" t="s">
        <v>368</v>
      </c>
      <c r="N74" s="8" t="s">
        <v>27</v>
      </c>
      <c r="O74" s="8"/>
      <c r="P74" s="6"/>
    </row>
    <row r="75" customFormat="false" ht="22.35" hidden="false" customHeight="false" outlineLevel="0" collapsed="false">
      <c r="A75" s="6" t="n">
        <v>39</v>
      </c>
      <c r="B75" s="7" t="str">
        <f aca="false">IF($C$2="","",$C$2+A75-1)</f>
        <v/>
      </c>
      <c r="C75" s="6" t="str">
        <f aca="false">IF(B75="","",TEXT(B75,"ddd"))</f>
        <v/>
      </c>
      <c r="D75" s="6" t="s">
        <v>303</v>
      </c>
      <c r="E75" s="6" t="s">
        <v>50</v>
      </c>
      <c r="F75" s="6" t="s">
        <v>51</v>
      </c>
      <c r="G75" s="6" t="s">
        <v>369</v>
      </c>
      <c r="H75" s="6" t="s">
        <v>370</v>
      </c>
      <c r="I75" s="6"/>
      <c r="J75" s="6"/>
      <c r="K75" s="6" t="s">
        <v>371</v>
      </c>
      <c r="L75" s="6" t="s">
        <v>88</v>
      </c>
      <c r="M75" s="6" t="s">
        <v>372</v>
      </c>
      <c r="N75" s="8" t="s">
        <v>27</v>
      </c>
      <c r="O75" s="8"/>
      <c r="P75" s="6"/>
    </row>
    <row r="76" customFormat="false" ht="22.35" hidden="false" customHeight="false" outlineLevel="0" collapsed="false">
      <c r="A76" s="6" t="n">
        <v>39</v>
      </c>
      <c r="B76" s="7" t="str">
        <f aca="false">IF($C$2="","",$C$2+A76-1)</f>
        <v/>
      </c>
      <c r="C76" s="6" t="str">
        <f aca="false">IF(B76="","",TEXT(B76,"ddd"))</f>
        <v/>
      </c>
      <c r="D76" s="6" t="s">
        <v>303</v>
      </c>
      <c r="E76" s="6" t="s">
        <v>28</v>
      </c>
      <c r="F76" s="6" t="s">
        <v>29</v>
      </c>
      <c r="G76" s="6" t="s">
        <v>373</v>
      </c>
      <c r="H76" s="6" t="s">
        <v>374</v>
      </c>
      <c r="I76" s="6" t="s">
        <v>375</v>
      </c>
      <c r="J76" s="6" t="s">
        <v>310</v>
      </c>
      <c r="K76" s="6" t="s">
        <v>376</v>
      </c>
      <c r="L76" s="6" t="s">
        <v>88</v>
      </c>
      <c r="M76" s="6" t="s">
        <v>377</v>
      </c>
      <c r="N76" s="8" t="s">
        <v>27</v>
      </c>
      <c r="O76" s="8"/>
      <c r="P76" s="6"/>
    </row>
    <row r="77" customFormat="false" ht="22.35" hidden="false" customHeight="false" outlineLevel="0" collapsed="false">
      <c r="A77" s="6" t="n">
        <v>40</v>
      </c>
      <c r="B77" s="7" t="str">
        <f aca="false">IF($C$2="","",$C$2+A77-1)</f>
        <v/>
      </c>
      <c r="C77" s="6" t="str">
        <f aca="false">IF(B77="","",TEXT(B77,"ddd"))</f>
        <v/>
      </c>
      <c r="D77" s="6" t="s">
        <v>303</v>
      </c>
      <c r="E77" s="6" t="s">
        <v>50</v>
      </c>
      <c r="F77" s="6" t="s">
        <v>36</v>
      </c>
      <c r="G77" s="6" t="s">
        <v>378</v>
      </c>
      <c r="H77" s="6" t="s">
        <v>379</v>
      </c>
      <c r="I77" s="6"/>
      <c r="J77" s="6"/>
      <c r="K77" s="6" t="s">
        <v>380</v>
      </c>
      <c r="L77" s="6" t="s">
        <v>48</v>
      </c>
      <c r="M77" s="6" t="s">
        <v>381</v>
      </c>
      <c r="N77" s="8" t="s">
        <v>27</v>
      </c>
      <c r="O77" s="8"/>
      <c r="P77" s="6"/>
    </row>
    <row r="78" customFormat="false" ht="22.35" hidden="false" customHeight="false" outlineLevel="0" collapsed="false">
      <c r="A78" s="6" t="n">
        <v>40</v>
      </c>
      <c r="B78" s="7" t="str">
        <f aca="false">IF($C$2="","",$C$2+A78-1)</f>
        <v/>
      </c>
      <c r="C78" s="6" t="str">
        <f aca="false">IF(B78="","",TEXT(B78,"ddd"))</f>
        <v/>
      </c>
      <c r="D78" s="6" t="s">
        <v>303</v>
      </c>
      <c r="E78" s="6" t="s">
        <v>28</v>
      </c>
      <c r="F78" s="6" t="s">
        <v>29</v>
      </c>
      <c r="G78" s="6" t="s">
        <v>382</v>
      </c>
      <c r="H78" s="6" t="s">
        <v>383</v>
      </c>
      <c r="I78" s="6" t="s">
        <v>384</v>
      </c>
      <c r="J78" s="6" t="s">
        <v>310</v>
      </c>
      <c r="K78" s="6" t="s">
        <v>385</v>
      </c>
      <c r="L78" s="6" t="s">
        <v>48</v>
      </c>
      <c r="M78" s="6" t="s">
        <v>386</v>
      </c>
      <c r="N78" s="8" t="s">
        <v>27</v>
      </c>
      <c r="O78" s="8"/>
      <c r="P78" s="6"/>
    </row>
    <row r="79" customFormat="false" ht="126.85" hidden="false" customHeight="false" outlineLevel="0" collapsed="false">
      <c r="A79" s="6" t="n">
        <v>41</v>
      </c>
      <c r="B79" s="7" t="str">
        <f aca="false">IF($C$2="","",$C$2+A79-1)</f>
        <v/>
      </c>
      <c r="C79" s="6" t="str">
        <f aca="false">IF(B79="","",TEXT(B79,"ddd"))</f>
        <v/>
      </c>
      <c r="D79" s="6" t="s">
        <v>303</v>
      </c>
      <c r="E79" s="6" t="s">
        <v>20</v>
      </c>
      <c r="F79" s="6" t="s">
        <v>21</v>
      </c>
      <c r="G79" s="6" t="s">
        <v>387</v>
      </c>
      <c r="H79" s="6" t="s">
        <v>388</v>
      </c>
      <c r="I79" s="6"/>
      <c r="J79" s="6"/>
      <c r="K79" s="6" t="s">
        <v>389</v>
      </c>
      <c r="L79" s="6" t="s">
        <v>48</v>
      </c>
      <c r="M79" s="6"/>
      <c r="N79" s="8" t="s">
        <v>27</v>
      </c>
      <c r="O79" s="8"/>
      <c r="P79" s="6"/>
    </row>
    <row r="80" customFormat="false" ht="22.35" hidden="false" customHeight="false" outlineLevel="0" collapsed="false">
      <c r="A80" s="6" t="n">
        <v>41</v>
      </c>
      <c r="B80" s="7" t="str">
        <f aca="false">IF($C$2="","",$C$2+A80-1)</f>
        <v/>
      </c>
      <c r="C80" s="6" t="str">
        <f aca="false">IF(B80="","",TEXT(B80,"ddd"))</f>
        <v/>
      </c>
      <c r="D80" s="6" t="s">
        <v>303</v>
      </c>
      <c r="E80" s="6" t="s">
        <v>28</v>
      </c>
      <c r="F80" s="6" t="s">
        <v>29</v>
      </c>
      <c r="G80" s="6" t="s">
        <v>390</v>
      </c>
      <c r="H80" s="6" t="s">
        <v>391</v>
      </c>
      <c r="I80" s="6" t="s">
        <v>392</v>
      </c>
      <c r="J80" s="6" t="s">
        <v>310</v>
      </c>
      <c r="K80" s="6" t="s">
        <v>393</v>
      </c>
      <c r="L80" s="6" t="s">
        <v>61</v>
      </c>
      <c r="M80" s="6" t="s">
        <v>394</v>
      </c>
      <c r="N80" s="8" t="s">
        <v>27</v>
      </c>
      <c r="O80" s="8"/>
      <c r="P80" s="6"/>
    </row>
    <row r="81" customFormat="false" ht="95.5" hidden="false" customHeight="false" outlineLevel="0" collapsed="false">
      <c r="A81" s="6" t="n">
        <v>42</v>
      </c>
      <c r="B81" s="7" t="str">
        <f aca="false">IF($C$2="","",$C$2+A81-1)</f>
        <v/>
      </c>
      <c r="C81" s="6" t="str">
        <f aca="false">IF(B81="","",TEXT(B81,"ddd"))</f>
        <v/>
      </c>
      <c r="D81" s="6" t="s">
        <v>303</v>
      </c>
      <c r="E81" s="6" t="s">
        <v>20</v>
      </c>
      <c r="F81" s="6" t="s">
        <v>36</v>
      </c>
      <c r="G81" s="6" t="s">
        <v>395</v>
      </c>
      <c r="H81" s="6" t="s">
        <v>396</v>
      </c>
      <c r="I81" s="6"/>
      <c r="J81" s="6"/>
      <c r="K81" s="6" t="s">
        <v>397</v>
      </c>
      <c r="L81" s="6" t="s">
        <v>61</v>
      </c>
      <c r="M81" s="6" t="s">
        <v>398</v>
      </c>
      <c r="N81" s="8" t="s">
        <v>27</v>
      </c>
      <c r="O81" s="8"/>
      <c r="P81" s="6"/>
    </row>
    <row r="82" customFormat="false" ht="22.35" hidden="false" customHeight="false" outlineLevel="0" collapsed="false">
      <c r="A82" s="6" t="n">
        <v>42</v>
      </c>
      <c r="B82" s="7" t="str">
        <f aca="false">IF($C$2="","",$C$2+A82-1)</f>
        <v/>
      </c>
      <c r="C82" s="6" t="str">
        <f aca="false">IF(B82="","",TEXT(B82,"ddd"))</f>
        <v/>
      </c>
      <c r="D82" s="6" t="s">
        <v>303</v>
      </c>
      <c r="E82" s="6" t="s">
        <v>28</v>
      </c>
      <c r="F82" s="6" t="s">
        <v>29</v>
      </c>
      <c r="G82" s="6" t="s">
        <v>399</v>
      </c>
      <c r="H82" s="6" t="s">
        <v>400</v>
      </c>
      <c r="I82" s="6" t="s">
        <v>401</v>
      </c>
      <c r="J82" s="6" t="s">
        <v>310</v>
      </c>
      <c r="K82" s="6" t="s">
        <v>402</v>
      </c>
      <c r="L82" s="6" t="s">
        <v>48</v>
      </c>
      <c r="M82" s="6" t="s">
        <v>403</v>
      </c>
      <c r="N82" s="8" t="s">
        <v>27</v>
      </c>
      <c r="O82" s="8"/>
      <c r="P82" s="6"/>
    </row>
    <row r="83" customFormat="false" ht="22.35" hidden="false" customHeight="false" outlineLevel="0" collapsed="false">
      <c r="A83" s="6" t="n">
        <v>43</v>
      </c>
      <c r="B83" s="7" t="str">
        <f aca="false">IF($C$2="","",$C$2+A83-1)</f>
        <v/>
      </c>
      <c r="C83" s="6" t="str">
        <f aca="false">IF(B83="","",TEXT(B83,"ddd"))</f>
        <v/>
      </c>
      <c r="D83" s="6" t="s">
        <v>303</v>
      </c>
      <c r="E83" s="6" t="s">
        <v>50</v>
      </c>
      <c r="F83" s="6" t="s">
        <v>51</v>
      </c>
      <c r="G83" s="6" t="s">
        <v>404</v>
      </c>
      <c r="H83" s="6" t="s">
        <v>405</v>
      </c>
      <c r="I83" s="6"/>
      <c r="J83" s="6"/>
      <c r="K83" s="6" t="s">
        <v>406</v>
      </c>
      <c r="L83" s="6" t="s">
        <v>41</v>
      </c>
      <c r="M83" s="6" t="s">
        <v>407</v>
      </c>
      <c r="N83" s="8" t="s">
        <v>27</v>
      </c>
      <c r="O83" s="8"/>
      <c r="P83" s="6"/>
    </row>
    <row r="84" customFormat="false" ht="22.35" hidden="false" customHeight="false" outlineLevel="0" collapsed="false">
      <c r="A84" s="6" t="n">
        <v>43</v>
      </c>
      <c r="B84" s="7" t="str">
        <f aca="false">IF($C$2="","",$C$2+A84-1)</f>
        <v/>
      </c>
      <c r="C84" s="6" t="str">
        <f aca="false">IF(B84="","",TEXT(B84,"ddd"))</f>
        <v/>
      </c>
      <c r="D84" s="6" t="s">
        <v>303</v>
      </c>
      <c r="E84" s="6" t="s">
        <v>28</v>
      </c>
      <c r="F84" s="6" t="s">
        <v>29</v>
      </c>
      <c r="G84" s="6" t="s">
        <v>408</v>
      </c>
      <c r="H84" s="6" t="s">
        <v>409</v>
      </c>
      <c r="I84" s="6" t="s">
        <v>410</v>
      </c>
      <c r="J84" s="6" t="s">
        <v>310</v>
      </c>
      <c r="K84" s="6" t="s">
        <v>411</v>
      </c>
      <c r="L84" s="6" t="s">
        <v>41</v>
      </c>
      <c r="M84" s="6" t="s">
        <v>412</v>
      </c>
      <c r="N84" s="8" t="s">
        <v>27</v>
      </c>
      <c r="O84" s="8"/>
      <c r="P84" s="6"/>
    </row>
    <row r="85" customFormat="false" ht="22.35" hidden="false" customHeight="false" outlineLevel="0" collapsed="false">
      <c r="A85" s="6" t="n">
        <v>44</v>
      </c>
      <c r="B85" s="7" t="str">
        <f aca="false">IF($C$2="","",$C$2+A85-1)</f>
        <v/>
      </c>
      <c r="C85" s="6" t="str">
        <f aca="false">IF(B85="","",TEXT(B85,"ddd"))</f>
        <v/>
      </c>
      <c r="D85" s="6" t="s">
        <v>303</v>
      </c>
      <c r="E85" s="6" t="s">
        <v>50</v>
      </c>
      <c r="F85" s="6" t="s">
        <v>36</v>
      </c>
      <c r="G85" s="6" t="s">
        <v>413</v>
      </c>
      <c r="H85" s="6" t="s">
        <v>414</v>
      </c>
      <c r="I85" s="6"/>
      <c r="J85" s="6"/>
      <c r="K85" s="6" t="s">
        <v>415</v>
      </c>
      <c r="L85" s="6" t="s">
        <v>88</v>
      </c>
      <c r="M85" s="6" t="s">
        <v>416</v>
      </c>
      <c r="N85" s="8" t="s">
        <v>27</v>
      </c>
      <c r="O85" s="8"/>
      <c r="P85" s="6"/>
    </row>
    <row r="86" customFormat="false" ht="22.35" hidden="false" customHeight="false" outlineLevel="0" collapsed="false">
      <c r="A86" s="6" t="n">
        <v>44</v>
      </c>
      <c r="B86" s="7" t="str">
        <f aca="false">IF($C$2="","",$C$2+A86-1)</f>
        <v/>
      </c>
      <c r="C86" s="6" t="str">
        <f aca="false">IF(B86="","",TEXT(B86,"ddd"))</f>
        <v/>
      </c>
      <c r="D86" s="6" t="s">
        <v>303</v>
      </c>
      <c r="E86" s="6" t="s">
        <v>28</v>
      </c>
      <c r="F86" s="6" t="s">
        <v>29</v>
      </c>
      <c r="G86" s="6" t="s">
        <v>417</v>
      </c>
      <c r="H86" s="6" t="s">
        <v>418</v>
      </c>
      <c r="I86" s="6" t="s">
        <v>419</v>
      </c>
      <c r="J86" s="6" t="s">
        <v>310</v>
      </c>
      <c r="K86" s="6" t="s">
        <v>420</v>
      </c>
      <c r="L86" s="6" t="s">
        <v>48</v>
      </c>
      <c r="M86" s="6" t="s">
        <v>421</v>
      </c>
      <c r="N86" s="8" t="s">
        <v>27</v>
      </c>
      <c r="O86" s="8"/>
      <c r="P86" s="6"/>
    </row>
    <row r="87" customFormat="false" ht="126.85" hidden="false" customHeight="false" outlineLevel="0" collapsed="false">
      <c r="A87" s="6" t="n">
        <v>45</v>
      </c>
      <c r="B87" s="7" t="str">
        <f aca="false">IF($C$2="","",$C$2+A87-1)</f>
        <v/>
      </c>
      <c r="C87" s="6" t="str">
        <f aca="false">IF(B87="","",TEXT(B87,"ddd"))</f>
        <v/>
      </c>
      <c r="D87" s="6" t="s">
        <v>303</v>
      </c>
      <c r="E87" s="6" t="s">
        <v>20</v>
      </c>
      <c r="F87" s="6" t="s">
        <v>21</v>
      </c>
      <c r="G87" s="6" t="s">
        <v>422</v>
      </c>
      <c r="H87" s="6" t="s">
        <v>423</v>
      </c>
      <c r="I87" s="6"/>
      <c r="J87" s="6"/>
      <c r="K87" s="6" t="s">
        <v>424</v>
      </c>
      <c r="L87" s="6" t="s">
        <v>61</v>
      </c>
      <c r="M87" s="6"/>
      <c r="N87" s="8" t="s">
        <v>27</v>
      </c>
      <c r="O87" s="8"/>
      <c r="P87" s="6"/>
    </row>
    <row r="88" customFormat="false" ht="22.35" hidden="false" customHeight="false" outlineLevel="0" collapsed="false">
      <c r="A88" s="6" t="n">
        <v>45</v>
      </c>
      <c r="B88" s="7" t="str">
        <f aca="false">IF($C$2="","",$C$2+A88-1)</f>
        <v/>
      </c>
      <c r="C88" s="6" t="str">
        <f aca="false">IF(B88="","",TEXT(B88,"ddd"))</f>
        <v/>
      </c>
      <c r="D88" s="6" t="s">
        <v>303</v>
      </c>
      <c r="E88" s="6" t="s">
        <v>28</v>
      </c>
      <c r="F88" s="6" t="s">
        <v>29</v>
      </c>
      <c r="G88" s="6" t="s">
        <v>425</v>
      </c>
      <c r="H88" s="6" t="s">
        <v>426</v>
      </c>
      <c r="I88" s="6" t="s">
        <v>427</v>
      </c>
      <c r="J88" s="6" t="s">
        <v>310</v>
      </c>
      <c r="K88" s="6" t="s">
        <v>428</v>
      </c>
      <c r="L88" s="6" t="s">
        <v>88</v>
      </c>
      <c r="M88" s="6" t="s">
        <v>429</v>
      </c>
      <c r="N88" s="8" t="s">
        <v>27</v>
      </c>
      <c r="O88" s="8"/>
      <c r="P88" s="6"/>
    </row>
    <row r="89" customFormat="false" ht="64.15" hidden="false" customHeight="false" outlineLevel="0" collapsed="false">
      <c r="A89" s="6" t="n">
        <v>46</v>
      </c>
      <c r="B89" s="7" t="str">
        <f aca="false">IF($C$2="","",$C$2+A89-1)</f>
        <v/>
      </c>
      <c r="C89" s="6" t="str">
        <f aca="false">IF(B89="","",TEXT(B89,"ddd"))</f>
        <v/>
      </c>
      <c r="D89" s="6" t="s">
        <v>303</v>
      </c>
      <c r="E89" s="6" t="s">
        <v>35</v>
      </c>
      <c r="F89" s="6" t="s">
        <v>36</v>
      </c>
      <c r="G89" s="6" t="s">
        <v>430</v>
      </c>
      <c r="H89" s="6" t="s">
        <v>431</v>
      </c>
      <c r="I89" s="6"/>
      <c r="J89" s="6"/>
      <c r="K89" s="6" t="s">
        <v>432</v>
      </c>
      <c r="L89" s="6" t="s">
        <v>41</v>
      </c>
      <c r="M89" s="6" t="s">
        <v>433</v>
      </c>
      <c r="N89" s="8" t="s">
        <v>27</v>
      </c>
      <c r="O89" s="8"/>
      <c r="P89" s="6"/>
    </row>
    <row r="90" customFormat="false" ht="32.8" hidden="false" customHeight="false" outlineLevel="0" collapsed="false">
      <c r="A90" s="6" t="n">
        <v>46</v>
      </c>
      <c r="B90" s="7" t="str">
        <f aca="false">IF($C$2="","",$C$2+A90-1)</f>
        <v/>
      </c>
      <c r="C90" s="6" t="str">
        <f aca="false">IF(B90="","",TEXT(B90,"ddd"))</f>
        <v/>
      </c>
      <c r="D90" s="6" t="s">
        <v>303</v>
      </c>
      <c r="E90" s="6" t="s">
        <v>28</v>
      </c>
      <c r="F90" s="6" t="s">
        <v>29</v>
      </c>
      <c r="G90" s="6" t="s">
        <v>434</v>
      </c>
      <c r="H90" s="6" t="s">
        <v>435</v>
      </c>
      <c r="I90" s="6" t="s">
        <v>436</v>
      </c>
      <c r="J90" s="6" t="s">
        <v>310</v>
      </c>
      <c r="K90" s="6" t="s">
        <v>437</v>
      </c>
      <c r="L90" s="6" t="s">
        <v>41</v>
      </c>
      <c r="M90" s="6" t="s">
        <v>438</v>
      </c>
      <c r="N90" s="8" t="s">
        <v>27</v>
      </c>
      <c r="O90" s="8"/>
      <c r="P90" s="6"/>
    </row>
    <row r="91" customFormat="false" ht="22.35" hidden="false" customHeight="false" outlineLevel="0" collapsed="false">
      <c r="A91" s="6" t="n">
        <v>47</v>
      </c>
      <c r="B91" s="7" t="str">
        <f aca="false">IF($C$2="","",$C$2+A91-1)</f>
        <v/>
      </c>
      <c r="C91" s="6" t="str">
        <f aca="false">IF(B91="","",TEXT(B91,"ddd"))</f>
        <v/>
      </c>
      <c r="D91" s="6" t="s">
        <v>303</v>
      </c>
      <c r="E91" s="6" t="s">
        <v>50</v>
      </c>
      <c r="F91" s="6" t="s">
        <v>51</v>
      </c>
      <c r="G91" s="6" t="s">
        <v>439</v>
      </c>
      <c r="H91" s="6" t="s">
        <v>440</v>
      </c>
      <c r="I91" s="6"/>
      <c r="J91" s="6"/>
      <c r="K91" s="6" t="s">
        <v>441</v>
      </c>
      <c r="L91" s="6" t="s">
        <v>48</v>
      </c>
      <c r="M91" s="6" t="s">
        <v>442</v>
      </c>
      <c r="N91" s="8" t="s">
        <v>27</v>
      </c>
      <c r="O91" s="8"/>
      <c r="P91" s="6"/>
    </row>
    <row r="92" customFormat="false" ht="22.35" hidden="false" customHeight="false" outlineLevel="0" collapsed="false">
      <c r="A92" s="6" t="n">
        <v>47</v>
      </c>
      <c r="B92" s="7" t="str">
        <f aca="false">IF($C$2="","",$C$2+A92-1)</f>
        <v/>
      </c>
      <c r="C92" s="6" t="str">
        <f aca="false">IF(B92="","",TEXT(B92,"ddd"))</f>
        <v/>
      </c>
      <c r="D92" s="6" t="s">
        <v>303</v>
      </c>
      <c r="E92" s="6" t="s">
        <v>28</v>
      </c>
      <c r="F92" s="6" t="s">
        <v>29</v>
      </c>
      <c r="G92" s="6" t="s">
        <v>443</v>
      </c>
      <c r="H92" s="6" t="s">
        <v>444</v>
      </c>
      <c r="I92" s="6" t="s">
        <v>445</v>
      </c>
      <c r="J92" s="6" t="s">
        <v>310</v>
      </c>
      <c r="K92" s="6" t="s">
        <v>446</v>
      </c>
      <c r="L92" s="6" t="s">
        <v>48</v>
      </c>
      <c r="M92" s="6" t="s">
        <v>447</v>
      </c>
      <c r="N92" s="8" t="s">
        <v>27</v>
      </c>
      <c r="O92" s="8"/>
      <c r="P92" s="6"/>
    </row>
    <row r="93" customFormat="false" ht="22.35" hidden="false" customHeight="false" outlineLevel="0" collapsed="false">
      <c r="A93" s="6" t="n">
        <v>48</v>
      </c>
      <c r="B93" s="7" t="str">
        <f aca="false">IF($C$2="","",$C$2+A93-1)</f>
        <v/>
      </c>
      <c r="C93" s="6" t="str">
        <f aca="false">IF(B93="","",TEXT(B93,"ddd"))</f>
        <v/>
      </c>
      <c r="D93" s="6" t="s">
        <v>303</v>
      </c>
      <c r="E93" s="6" t="s">
        <v>28</v>
      </c>
      <c r="F93" s="6" t="s">
        <v>29</v>
      </c>
      <c r="G93" s="6" t="s">
        <v>448</v>
      </c>
      <c r="H93" s="6" t="s">
        <v>449</v>
      </c>
      <c r="I93" s="6" t="s">
        <v>450</v>
      </c>
      <c r="J93" s="6" t="s">
        <v>310</v>
      </c>
      <c r="K93" s="6" t="s">
        <v>451</v>
      </c>
      <c r="L93" s="6" t="s">
        <v>88</v>
      </c>
      <c r="M93" s="6" t="s">
        <v>452</v>
      </c>
      <c r="N93" s="8" t="s">
        <v>27</v>
      </c>
      <c r="O93" s="8"/>
      <c r="P93" s="6"/>
    </row>
    <row r="94" customFormat="false" ht="116.4" hidden="false" customHeight="false" outlineLevel="0" collapsed="false">
      <c r="A94" s="6" t="n">
        <v>49</v>
      </c>
      <c r="B94" s="7" t="str">
        <f aca="false">IF($C$2="","",$C$2+A94-1)</f>
        <v/>
      </c>
      <c r="C94" s="6" t="str">
        <f aca="false">IF(B94="","",TEXT(B94,"ddd"))</f>
        <v/>
      </c>
      <c r="D94" s="6" t="s">
        <v>303</v>
      </c>
      <c r="E94" s="6" t="s">
        <v>20</v>
      </c>
      <c r="F94" s="6" t="s">
        <v>21</v>
      </c>
      <c r="G94" s="6" t="s">
        <v>453</v>
      </c>
      <c r="H94" s="6" t="s">
        <v>454</v>
      </c>
      <c r="I94" s="6"/>
      <c r="J94" s="6"/>
      <c r="K94" s="6" t="s">
        <v>455</v>
      </c>
      <c r="L94" s="6" t="s">
        <v>88</v>
      </c>
      <c r="M94" s="6"/>
      <c r="N94" s="8" t="s">
        <v>27</v>
      </c>
      <c r="O94" s="8"/>
      <c r="P94" s="6"/>
    </row>
    <row r="95" customFormat="false" ht="85.05" hidden="false" customHeight="false" outlineLevel="0" collapsed="false">
      <c r="A95" s="6" t="n">
        <v>49</v>
      </c>
      <c r="B95" s="7" t="str">
        <f aca="false">IF($C$2="","",$C$2+A95-1)</f>
        <v/>
      </c>
      <c r="C95" s="6" t="str">
        <f aca="false">IF(B95="","",TEXT(B95,"ddd"))</f>
        <v/>
      </c>
      <c r="D95" s="6" t="s">
        <v>303</v>
      </c>
      <c r="E95" s="6" t="s">
        <v>35</v>
      </c>
      <c r="F95" s="6" t="s">
        <v>36</v>
      </c>
      <c r="G95" s="6" t="s">
        <v>456</v>
      </c>
      <c r="H95" s="6" t="s">
        <v>457</v>
      </c>
      <c r="I95" s="6"/>
      <c r="J95" s="6"/>
      <c r="K95" s="6" t="s">
        <v>458</v>
      </c>
      <c r="L95" s="6" t="s">
        <v>41</v>
      </c>
      <c r="M95" s="6" t="s">
        <v>459</v>
      </c>
      <c r="N95" s="8" t="s">
        <v>27</v>
      </c>
      <c r="O95" s="8"/>
      <c r="P95" s="6"/>
    </row>
    <row r="96" customFormat="false" ht="22.35" hidden="false" customHeight="false" outlineLevel="0" collapsed="false">
      <c r="A96" s="6" t="n">
        <v>49</v>
      </c>
      <c r="B96" s="7" t="str">
        <f aca="false">IF($C$2="","",$C$2+A96-1)</f>
        <v/>
      </c>
      <c r="C96" s="6" t="str">
        <f aca="false">IF(B96="","",TEXT(B96,"ddd"))</f>
        <v/>
      </c>
      <c r="D96" s="6" t="s">
        <v>303</v>
      </c>
      <c r="E96" s="6" t="s">
        <v>28</v>
      </c>
      <c r="F96" s="6" t="s">
        <v>29</v>
      </c>
      <c r="G96" s="6" t="s">
        <v>460</v>
      </c>
      <c r="H96" s="6" t="s">
        <v>461</v>
      </c>
      <c r="I96" s="6" t="s">
        <v>462</v>
      </c>
      <c r="J96" s="6" t="s">
        <v>310</v>
      </c>
      <c r="K96" s="6" t="s">
        <v>463</v>
      </c>
      <c r="L96" s="6" t="s">
        <v>41</v>
      </c>
      <c r="M96" s="6" t="s">
        <v>464</v>
      </c>
      <c r="N96" s="8" t="s">
        <v>27</v>
      </c>
      <c r="O96" s="8"/>
      <c r="P96" s="6"/>
    </row>
    <row r="97" customFormat="false" ht="74.6" hidden="false" customHeight="false" outlineLevel="0" collapsed="false">
      <c r="A97" s="6" t="n">
        <v>50</v>
      </c>
      <c r="B97" s="7" t="str">
        <f aca="false">IF($C$2="","",$C$2+A97-1)</f>
        <v/>
      </c>
      <c r="C97" s="6" t="str">
        <f aca="false">IF(B97="","",TEXT(B97,"ddd"))</f>
        <v/>
      </c>
      <c r="D97" s="6" t="s">
        <v>303</v>
      </c>
      <c r="E97" s="6" t="s">
        <v>35</v>
      </c>
      <c r="F97" s="6" t="s">
        <v>36</v>
      </c>
      <c r="G97" s="6" t="s">
        <v>465</v>
      </c>
      <c r="H97" s="6" t="s">
        <v>466</v>
      </c>
      <c r="I97" s="6"/>
      <c r="J97" s="6"/>
      <c r="K97" s="6" t="s">
        <v>467</v>
      </c>
      <c r="L97" s="6" t="s">
        <v>41</v>
      </c>
      <c r="M97" s="6" t="s">
        <v>468</v>
      </c>
      <c r="N97" s="8" t="s">
        <v>27</v>
      </c>
      <c r="O97" s="8"/>
      <c r="P97" s="6"/>
    </row>
    <row r="98" customFormat="false" ht="22.35" hidden="false" customHeight="false" outlineLevel="0" collapsed="false">
      <c r="A98" s="6" t="n">
        <v>50</v>
      </c>
      <c r="B98" s="7" t="str">
        <f aca="false">IF($C$2="","",$C$2+A98-1)</f>
        <v/>
      </c>
      <c r="C98" s="6" t="str">
        <f aca="false">IF(B98="","",TEXT(B98,"ddd"))</f>
        <v/>
      </c>
      <c r="D98" s="6" t="s">
        <v>303</v>
      </c>
      <c r="E98" s="6" t="s">
        <v>28</v>
      </c>
      <c r="F98" s="6" t="s">
        <v>29</v>
      </c>
      <c r="G98" s="6" t="s">
        <v>469</v>
      </c>
      <c r="H98" s="6" t="s">
        <v>470</v>
      </c>
      <c r="I98" s="6" t="s">
        <v>471</v>
      </c>
      <c r="J98" s="6" t="s">
        <v>310</v>
      </c>
      <c r="K98" s="6" t="s">
        <v>472</v>
      </c>
      <c r="L98" s="6" t="s">
        <v>41</v>
      </c>
      <c r="M98" s="6" t="s">
        <v>473</v>
      </c>
      <c r="N98" s="8" t="s">
        <v>27</v>
      </c>
      <c r="O98" s="8"/>
      <c r="P98" s="6"/>
    </row>
    <row r="99" customFormat="false" ht="53.7" hidden="false" customHeight="false" outlineLevel="0" collapsed="false">
      <c r="A99" s="6" t="n">
        <v>51</v>
      </c>
      <c r="B99" s="7" t="str">
        <f aca="false">IF($C$2="","",$C$2+A99-1)</f>
        <v/>
      </c>
      <c r="C99" s="6" t="str">
        <f aca="false">IF(B99="","",TEXT(B99,"ddd"))</f>
        <v/>
      </c>
      <c r="D99" s="6" t="s">
        <v>303</v>
      </c>
      <c r="E99" s="6" t="s">
        <v>35</v>
      </c>
      <c r="F99" s="6" t="s">
        <v>36</v>
      </c>
      <c r="G99" s="6" t="s">
        <v>474</v>
      </c>
      <c r="H99" s="6" t="s">
        <v>475</v>
      </c>
      <c r="I99" s="6"/>
      <c r="J99" s="6"/>
      <c r="K99" s="6" t="s">
        <v>476</v>
      </c>
      <c r="L99" s="6" t="s">
        <v>41</v>
      </c>
      <c r="M99" s="6" t="s">
        <v>477</v>
      </c>
      <c r="N99" s="8" t="s">
        <v>27</v>
      </c>
      <c r="O99" s="8"/>
      <c r="P99" s="6"/>
    </row>
    <row r="100" customFormat="false" ht="22.35" hidden="false" customHeight="false" outlineLevel="0" collapsed="false">
      <c r="A100" s="6" t="n">
        <v>51</v>
      </c>
      <c r="B100" s="7" t="str">
        <f aca="false">IF($C$2="","",$C$2+A100-1)</f>
        <v/>
      </c>
      <c r="C100" s="6" t="str">
        <f aca="false">IF(B100="","",TEXT(B100,"ddd"))</f>
        <v/>
      </c>
      <c r="D100" s="6" t="s">
        <v>303</v>
      </c>
      <c r="E100" s="6" t="s">
        <v>28</v>
      </c>
      <c r="F100" s="6" t="s">
        <v>29</v>
      </c>
      <c r="G100" s="6" t="s">
        <v>478</v>
      </c>
      <c r="H100" s="6" t="s">
        <v>479</v>
      </c>
      <c r="I100" s="6" t="s">
        <v>480</v>
      </c>
      <c r="J100" s="6" t="s">
        <v>310</v>
      </c>
      <c r="K100" s="6" t="s">
        <v>481</v>
      </c>
      <c r="L100" s="6" t="s">
        <v>41</v>
      </c>
      <c r="M100" s="6" t="s">
        <v>482</v>
      </c>
      <c r="N100" s="8" t="s">
        <v>27</v>
      </c>
      <c r="O100" s="8"/>
      <c r="P100" s="6"/>
    </row>
    <row r="101" customFormat="false" ht="22.35" hidden="false" customHeight="false" outlineLevel="0" collapsed="false">
      <c r="A101" s="6" t="n">
        <v>52</v>
      </c>
      <c r="B101" s="7" t="str">
        <f aca="false">IF($C$2="","",$C$2+A101-1)</f>
        <v/>
      </c>
      <c r="C101" s="6" t="str">
        <f aca="false">IF(B101="","",TEXT(B101,"ddd"))</f>
        <v/>
      </c>
      <c r="D101" s="6" t="s">
        <v>303</v>
      </c>
      <c r="E101" s="6" t="s">
        <v>50</v>
      </c>
      <c r="F101" s="6" t="s">
        <v>51</v>
      </c>
      <c r="G101" s="6" t="s">
        <v>483</v>
      </c>
      <c r="H101" s="6" t="s">
        <v>484</v>
      </c>
      <c r="I101" s="6"/>
      <c r="J101" s="6"/>
      <c r="K101" s="6" t="s">
        <v>485</v>
      </c>
      <c r="L101" s="6" t="s">
        <v>88</v>
      </c>
      <c r="M101" s="6" t="s">
        <v>486</v>
      </c>
      <c r="N101" s="8" t="s">
        <v>27</v>
      </c>
      <c r="O101" s="8"/>
      <c r="P101" s="6"/>
    </row>
    <row r="102" customFormat="false" ht="22.35" hidden="false" customHeight="false" outlineLevel="0" collapsed="false">
      <c r="A102" s="6" t="n">
        <v>52</v>
      </c>
      <c r="B102" s="7" t="str">
        <f aca="false">IF($C$2="","",$C$2+A102-1)</f>
        <v/>
      </c>
      <c r="C102" s="6" t="str">
        <f aca="false">IF(B102="","",TEXT(B102,"ddd"))</f>
        <v/>
      </c>
      <c r="D102" s="6" t="s">
        <v>303</v>
      </c>
      <c r="E102" s="6" t="s">
        <v>28</v>
      </c>
      <c r="F102" s="6" t="s">
        <v>29</v>
      </c>
      <c r="G102" s="6" t="s">
        <v>487</v>
      </c>
      <c r="H102" s="6" t="s">
        <v>488</v>
      </c>
      <c r="I102" s="6" t="s">
        <v>489</v>
      </c>
      <c r="J102" s="6" t="s">
        <v>39</v>
      </c>
      <c r="K102" s="6" t="s">
        <v>490</v>
      </c>
      <c r="L102" s="6" t="s">
        <v>48</v>
      </c>
      <c r="M102" s="6" t="s">
        <v>491</v>
      </c>
      <c r="N102" s="8" t="s">
        <v>27</v>
      </c>
      <c r="O102" s="8"/>
      <c r="P102" s="6"/>
    </row>
    <row r="103" customFormat="false" ht="22.35" hidden="false" customHeight="false" outlineLevel="0" collapsed="false">
      <c r="A103" s="6" t="n">
        <v>53</v>
      </c>
      <c r="B103" s="7" t="str">
        <f aca="false">IF($C$2="","",$C$2+A103-1)</f>
        <v/>
      </c>
      <c r="C103" s="6" t="str">
        <f aca="false">IF(B103="","",TEXT(B103,"ddd"))</f>
        <v/>
      </c>
      <c r="D103" s="6" t="s">
        <v>303</v>
      </c>
      <c r="E103" s="6" t="s">
        <v>28</v>
      </c>
      <c r="F103" s="6" t="s">
        <v>29</v>
      </c>
      <c r="G103" s="6" t="s">
        <v>492</v>
      </c>
      <c r="H103" s="6" t="s">
        <v>493</v>
      </c>
      <c r="I103" s="6" t="s">
        <v>494</v>
      </c>
      <c r="J103" s="6" t="s">
        <v>269</v>
      </c>
      <c r="K103" s="6" t="s">
        <v>495</v>
      </c>
      <c r="L103" s="6" t="s">
        <v>88</v>
      </c>
      <c r="M103" s="6" t="s">
        <v>496</v>
      </c>
      <c r="N103" s="8" t="s">
        <v>27</v>
      </c>
      <c r="O103" s="8"/>
      <c r="P103" s="6"/>
    </row>
    <row r="104" customFormat="false" ht="116.4" hidden="false" customHeight="false" outlineLevel="0" collapsed="false">
      <c r="A104" s="6" t="n">
        <v>54</v>
      </c>
      <c r="B104" s="7" t="str">
        <f aca="false">IF($C$2="","",$C$2+A104-1)</f>
        <v/>
      </c>
      <c r="C104" s="6" t="str">
        <f aca="false">IF(B104="","",TEXT(B104,"ddd"))</f>
        <v/>
      </c>
      <c r="D104" s="6" t="s">
        <v>303</v>
      </c>
      <c r="E104" s="6" t="s">
        <v>20</v>
      </c>
      <c r="F104" s="6" t="s">
        <v>21</v>
      </c>
      <c r="G104" s="6" t="s">
        <v>497</v>
      </c>
      <c r="H104" s="6" t="s">
        <v>498</v>
      </c>
      <c r="I104" s="6"/>
      <c r="J104" s="6"/>
      <c r="K104" s="6" t="s">
        <v>499</v>
      </c>
      <c r="L104" s="6" t="s">
        <v>48</v>
      </c>
      <c r="M104" s="6"/>
      <c r="N104" s="8" t="s">
        <v>27</v>
      </c>
      <c r="O104" s="8"/>
      <c r="P104" s="6"/>
    </row>
    <row r="105" customFormat="false" ht="32.8" hidden="false" customHeight="false" outlineLevel="0" collapsed="false">
      <c r="A105" s="6" t="n">
        <v>54</v>
      </c>
      <c r="B105" s="7" t="str">
        <f aca="false">IF($C$2="","",$C$2+A105-1)</f>
        <v/>
      </c>
      <c r="C105" s="6" t="str">
        <f aca="false">IF(B105="","",TEXT(B105,"ddd"))</f>
        <v/>
      </c>
      <c r="D105" s="6" t="s">
        <v>303</v>
      </c>
      <c r="E105" s="6" t="s">
        <v>28</v>
      </c>
      <c r="F105" s="6" t="s">
        <v>29</v>
      </c>
      <c r="G105" s="6" t="s">
        <v>500</v>
      </c>
      <c r="H105" s="6" t="s">
        <v>484</v>
      </c>
      <c r="I105" s="6" t="s">
        <v>501</v>
      </c>
      <c r="J105" s="6" t="s">
        <v>310</v>
      </c>
      <c r="K105" s="6" t="s">
        <v>502</v>
      </c>
      <c r="L105" s="6" t="s">
        <v>26</v>
      </c>
      <c r="M105" s="6" t="s">
        <v>503</v>
      </c>
      <c r="N105" s="8" t="s">
        <v>27</v>
      </c>
      <c r="O105" s="8"/>
      <c r="P105" s="6"/>
    </row>
    <row r="106" customFormat="false" ht="22.35" hidden="false" customHeight="false" outlineLevel="0" collapsed="false">
      <c r="A106" s="6" t="n">
        <v>55</v>
      </c>
      <c r="B106" s="7" t="str">
        <f aca="false">IF($C$2="","",$C$2+A106-1)</f>
        <v/>
      </c>
      <c r="C106" s="6" t="str">
        <f aca="false">IF(B106="","",TEXT(B106,"ddd"))</f>
        <v/>
      </c>
      <c r="D106" s="6" t="s">
        <v>303</v>
      </c>
      <c r="E106" s="6" t="s">
        <v>28</v>
      </c>
      <c r="F106" s="6" t="s">
        <v>29</v>
      </c>
      <c r="G106" s="6" t="s">
        <v>504</v>
      </c>
      <c r="H106" s="6" t="s">
        <v>505</v>
      </c>
      <c r="I106" s="6" t="s">
        <v>506</v>
      </c>
      <c r="J106" s="6" t="s">
        <v>181</v>
      </c>
      <c r="K106" s="6" t="s">
        <v>507</v>
      </c>
      <c r="L106" s="6" t="s">
        <v>88</v>
      </c>
      <c r="M106" s="6" t="s">
        <v>508</v>
      </c>
      <c r="N106" s="8" t="s">
        <v>27</v>
      </c>
      <c r="O106" s="8"/>
      <c r="P106" s="6"/>
    </row>
    <row r="107" customFormat="false" ht="22.35" hidden="false" customHeight="false" outlineLevel="0" collapsed="false">
      <c r="A107" s="6" t="n">
        <v>56</v>
      </c>
      <c r="B107" s="7" t="str">
        <f aca="false">IF($C$2="","",$C$2+A107-1)</f>
        <v/>
      </c>
      <c r="C107" s="6" t="str">
        <f aca="false">IF(B107="","",TEXT(B107,"ddd"))</f>
        <v/>
      </c>
      <c r="D107" s="6" t="s">
        <v>303</v>
      </c>
      <c r="E107" s="6" t="s">
        <v>50</v>
      </c>
      <c r="F107" s="6" t="s">
        <v>51</v>
      </c>
      <c r="G107" s="6" t="s">
        <v>509</v>
      </c>
      <c r="H107" s="6" t="s">
        <v>510</v>
      </c>
      <c r="I107" s="6"/>
      <c r="J107" s="6"/>
      <c r="K107" s="6" t="s">
        <v>511</v>
      </c>
      <c r="L107" s="6" t="s">
        <v>61</v>
      </c>
      <c r="M107" s="6" t="s">
        <v>512</v>
      </c>
      <c r="N107" s="8" t="s">
        <v>27</v>
      </c>
      <c r="O107" s="8"/>
      <c r="P107" s="6"/>
    </row>
    <row r="108" customFormat="false" ht="22.35" hidden="false" customHeight="false" outlineLevel="0" collapsed="false">
      <c r="A108" s="6" t="n">
        <v>56</v>
      </c>
      <c r="B108" s="7" t="str">
        <f aca="false">IF($C$2="","",$C$2+A108-1)</f>
        <v/>
      </c>
      <c r="C108" s="6" t="str">
        <f aca="false">IF(B108="","",TEXT(B108,"ddd"))</f>
        <v/>
      </c>
      <c r="D108" s="6" t="s">
        <v>303</v>
      </c>
      <c r="E108" s="6" t="s">
        <v>28</v>
      </c>
      <c r="F108" s="6" t="s">
        <v>29</v>
      </c>
      <c r="G108" s="6" t="s">
        <v>513</v>
      </c>
      <c r="H108" s="6" t="s">
        <v>514</v>
      </c>
      <c r="I108" s="6" t="s">
        <v>515</v>
      </c>
      <c r="J108" s="6" t="s">
        <v>310</v>
      </c>
      <c r="K108" s="6" t="s">
        <v>516</v>
      </c>
      <c r="L108" s="6" t="s">
        <v>88</v>
      </c>
      <c r="M108" s="6" t="s">
        <v>517</v>
      </c>
      <c r="N108" s="8" t="s">
        <v>27</v>
      </c>
      <c r="O108" s="8"/>
      <c r="P108" s="6"/>
    </row>
    <row r="109" customFormat="false" ht="22.35" hidden="false" customHeight="false" outlineLevel="0" collapsed="false">
      <c r="A109" s="6" t="n">
        <v>57</v>
      </c>
      <c r="B109" s="7" t="str">
        <f aca="false">IF($C$2="","",$C$2+A109-1)</f>
        <v/>
      </c>
      <c r="C109" s="6" t="str">
        <f aca="false">IF(B109="","",TEXT(B109,"ddd"))</f>
        <v/>
      </c>
      <c r="D109" s="6" t="s">
        <v>303</v>
      </c>
      <c r="E109" s="6" t="s">
        <v>20</v>
      </c>
      <c r="F109" s="6" t="s">
        <v>36</v>
      </c>
      <c r="G109" s="6" t="s">
        <v>518</v>
      </c>
      <c r="H109" s="6" t="s">
        <v>519</v>
      </c>
      <c r="I109" s="6"/>
      <c r="J109" s="6"/>
      <c r="K109" s="6" t="s">
        <v>520</v>
      </c>
      <c r="L109" s="6" t="s">
        <v>41</v>
      </c>
      <c r="M109" s="6" t="s">
        <v>521</v>
      </c>
      <c r="N109" s="8" t="s">
        <v>27</v>
      </c>
      <c r="O109" s="8"/>
      <c r="P109" s="6"/>
    </row>
    <row r="110" customFormat="false" ht="22.35" hidden="false" customHeight="false" outlineLevel="0" collapsed="false">
      <c r="A110" s="6" t="n">
        <v>57</v>
      </c>
      <c r="B110" s="7" t="str">
        <f aca="false">IF($C$2="","",$C$2+A110-1)</f>
        <v/>
      </c>
      <c r="C110" s="6" t="str">
        <f aca="false">IF(B110="","",TEXT(B110,"ddd"))</f>
        <v/>
      </c>
      <c r="D110" s="6" t="s">
        <v>303</v>
      </c>
      <c r="E110" s="6" t="s">
        <v>28</v>
      </c>
      <c r="F110" s="6" t="s">
        <v>29</v>
      </c>
      <c r="G110" s="6" t="s">
        <v>522</v>
      </c>
      <c r="H110" s="6" t="s">
        <v>523</v>
      </c>
      <c r="I110" s="6" t="s">
        <v>524</v>
      </c>
      <c r="J110" s="6" t="s">
        <v>310</v>
      </c>
      <c r="K110" s="6" t="s">
        <v>525</v>
      </c>
      <c r="L110" s="6" t="s">
        <v>41</v>
      </c>
      <c r="M110" s="6" t="s">
        <v>526</v>
      </c>
      <c r="N110" s="8" t="s">
        <v>27</v>
      </c>
      <c r="O110" s="8"/>
      <c r="P110" s="6"/>
    </row>
    <row r="111" customFormat="false" ht="105.95" hidden="false" customHeight="false" outlineLevel="0" collapsed="false">
      <c r="A111" s="6" t="n">
        <v>58</v>
      </c>
      <c r="B111" s="7" t="str">
        <f aca="false">IF($C$2="","",$C$2+A111-1)</f>
        <v/>
      </c>
      <c r="C111" s="6" t="str">
        <f aca="false">IF(B111="","",TEXT(B111,"ddd"))</f>
        <v/>
      </c>
      <c r="D111" s="6" t="s">
        <v>303</v>
      </c>
      <c r="E111" s="6" t="s">
        <v>20</v>
      </c>
      <c r="F111" s="6" t="s">
        <v>21</v>
      </c>
      <c r="G111" s="6" t="s">
        <v>527</v>
      </c>
      <c r="H111" s="6" t="s">
        <v>528</v>
      </c>
      <c r="I111" s="6"/>
      <c r="J111" s="6"/>
      <c r="K111" s="6" t="s">
        <v>529</v>
      </c>
      <c r="L111" s="6" t="s">
        <v>48</v>
      </c>
      <c r="M111" s="6"/>
      <c r="N111" s="8" t="s">
        <v>27</v>
      </c>
      <c r="O111" s="8"/>
      <c r="P111" s="6"/>
    </row>
    <row r="112" customFormat="false" ht="22.35" hidden="false" customHeight="false" outlineLevel="0" collapsed="false">
      <c r="A112" s="6" t="n">
        <v>58</v>
      </c>
      <c r="B112" s="7" t="str">
        <f aca="false">IF($C$2="","",$C$2+A112-1)</f>
        <v/>
      </c>
      <c r="C112" s="6" t="str">
        <f aca="false">IF(B112="","",TEXT(B112,"ddd"))</f>
        <v/>
      </c>
      <c r="D112" s="6" t="s">
        <v>303</v>
      </c>
      <c r="E112" s="6" t="s">
        <v>28</v>
      </c>
      <c r="F112" s="6" t="s">
        <v>29</v>
      </c>
      <c r="G112" s="6" t="s">
        <v>530</v>
      </c>
      <c r="H112" s="6" t="s">
        <v>531</v>
      </c>
      <c r="I112" s="6" t="s">
        <v>532</v>
      </c>
      <c r="J112" s="6" t="s">
        <v>310</v>
      </c>
      <c r="K112" s="6" t="s">
        <v>533</v>
      </c>
      <c r="L112" s="6" t="s">
        <v>88</v>
      </c>
      <c r="M112" s="6" t="s">
        <v>534</v>
      </c>
      <c r="N112" s="8" t="s">
        <v>27</v>
      </c>
      <c r="O112" s="8"/>
      <c r="P112" s="6"/>
    </row>
    <row r="113" customFormat="false" ht="22.35" hidden="false" customHeight="false" outlineLevel="0" collapsed="false">
      <c r="A113" s="6" t="n">
        <v>59</v>
      </c>
      <c r="B113" s="7" t="str">
        <f aca="false">IF($C$2="","",$C$2+A113-1)</f>
        <v/>
      </c>
      <c r="C113" s="6" t="str">
        <f aca="false">IF(B113="","",TEXT(B113,"ddd"))</f>
        <v/>
      </c>
      <c r="D113" s="6" t="s">
        <v>303</v>
      </c>
      <c r="E113" s="6" t="s">
        <v>28</v>
      </c>
      <c r="F113" s="6" t="s">
        <v>29</v>
      </c>
      <c r="G113" s="6" t="s">
        <v>535</v>
      </c>
      <c r="H113" s="6" t="s">
        <v>536</v>
      </c>
      <c r="I113" s="6" t="s">
        <v>537</v>
      </c>
      <c r="J113" s="6" t="s">
        <v>263</v>
      </c>
      <c r="K113" s="6" t="s">
        <v>538</v>
      </c>
      <c r="L113" s="6" t="s">
        <v>41</v>
      </c>
      <c r="M113" s="6" t="s">
        <v>539</v>
      </c>
      <c r="N113" s="8" t="s">
        <v>27</v>
      </c>
      <c r="O113" s="8"/>
      <c r="P113" s="6"/>
    </row>
    <row r="114" customFormat="false" ht="22.35" hidden="false" customHeight="false" outlineLevel="0" collapsed="false">
      <c r="A114" s="6" t="n">
        <v>60</v>
      </c>
      <c r="B114" s="7" t="str">
        <f aca="false">IF($C$2="","",$C$2+A114-1)</f>
        <v/>
      </c>
      <c r="C114" s="6" t="str">
        <f aca="false">IF(B114="","",TEXT(B114,"ddd"))</f>
        <v/>
      </c>
      <c r="D114" s="6" t="s">
        <v>303</v>
      </c>
      <c r="E114" s="6" t="s">
        <v>28</v>
      </c>
      <c r="F114" s="6" t="s">
        <v>29</v>
      </c>
      <c r="G114" s="6" t="s">
        <v>540</v>
      </c>
      <c r="H114" s="6" t="s">
        <v>541</v>
      </c>
      <c r="I114" s="6" t="s">
        <v>542</v>
      </c>
      <c r="J114" s="6" t="s">
        <v>39</v>
      </c>
      <c r="K114" s="6" t="s">
        <v>543</v>
      </c>
      <c r="L114" s="6" t="s">
        <v>41</v>
      </c>
      <c r="M114" s="6" t="s">
        <v>544</v>
      </c>
      <c r="N114" s="8" t="s">
        <v>27</v>
      </c>
      <c r="O114" s="8"/>
      <c r="P114" s="6"/>
    </row>
  </sheetData>
  <autoFilter ref="A4:P114"/>
  <conditionalFormatting sqref="A5:P114">
    <cfRule type="expression" priority="2" aboveAverage="0" equalAverage="0" bottom="0" percent="0" rank="0" text="" dxfId="5">
      <formula>$N5="Posted"</formula>
    </cfRule>
    <cfRule type="expression" priority="3" aboveAverage="0" equalAverage="0" bottom="0" percent="0" rank="0" text="" dxfId="6">
      <formula>$D5="Month 2: Product launch"</formula>
    </cfRule>
  </conditionalFormatting>
  <dataValidations count="1">
    <dataValidation allowBlank="false" errorStyle="stop" operator="between" showDropDown="false" showErrorMessage="false" showInputMessage="false" sqref="N5:N114" type="list">
      <formula1>"Draft,Approved,Recorded,Scheduled,Posted,Skipped"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s>
  <sheetData>
    <row r="1" customFormat="false" ht="15" hidden="false" customHeight="false" outlineLevel="0" collapsed="false">
      <c r="A1" s="9" t="s">
        <v>545</v>
      </c>
    </row>
    <row r="3" customFormat="false" ht="15" hidden="false" customHeight="false" outlineLevel="0" collapsed="false">
      <c r="A3" s="2" t="s">
        <v>8</v>
      </c>
      <c r="B3" s="2" t="s">
        <v>546</v>
      </c>
      <c r="C3" s="2" t="s">
        <v>547</v>
      </c>
      <c r="D3" s="2" t="s">
        <v>548</v>
      </c>
    </row>
    <row r="4" customFormat="false" ht="15" hidden="false" customHeight="false" outlineLevel="0" collapsed="false">
      <c r="A4" s="0" t="s">
        <v>21</v>
      </c>
      <c r="B4" s="0" t="n">
        <f aca="false">COUNTIF(Calendar!$F$5:$F$114,A4)</f>
        <v>16</v>
      </c>
      <c r="C4" s="0" t="n">
        <f aca="false">COUNTIFS(Calendar!$F$5:$F$114,A4,Calendar!$N$5:$N$114,"Posted")</f>
        <v>0</v>
      </c>
      <c r="D4" s="0" t="n">
        <f aca="false">B4-C4</f>
        <v>16</v>
      </c>
    </row>
    <row r="5" customFormat="false" ht="15" hidden="false" customHeight="false" outlineLevel="0" collapsed="false">
      <c r="A5" s="0" t="s">
        <v>51</v>
      </c>
      <c r="B5" s="0" t="n">
        <f aca="false">COUNTIF(Calendar!$F$5:$F$114,A5)</f>
        <v>14</v>
      </c>
      <c r="C5" s="0" t="n">
        <f aca="false">COUNTIFS(Calendar!$F$5:$F$114,A5,Calendar!$N$5:$N$114,"Posted")</f>
        <v>0</v>
      </c>
      <c r="D5" s="0" t="n">
        <f aca="false">B5-C5</f>
        <v>14</v>
      </c>
    </row>
    <row r="6" customFormat="false" ht="15" hidden="false" customHeight="false" outlineLevel="0" collapsed="false">
      <c r="A6" s="0" t="s">
        <v>36</v>
      </c>
      <c r="B6" s="0" t="n">
        <f aca="false">COUNTIF(Calendar!$F$5:$F$114,A6)</f>
        <v>20</v>
      </c>
      <c r="C6" s="0" t="n">
        <f aca="false">COUNTIFS(Calendar!$F$5:$F$114,A6,Calendar!$N$5:$N$114,"Posted")</f>
        <v>0</v>
      </c>
      <c r="D6" s="0" t="n">
        <f aca="false">B6-C6</f>
        <v>20</v>
      </c>
    </row>
    <row r="7" customFormat="false" ht="15" hidden="false" customHeight="false" outlineLevel="0" collapsed="false">
      <c r="A7" s="0" t="s">
        <v>29</v>
      </c>
      <c r="B7" s="0" t="n">
        <f aca="false">COUNTIF(Calendar!$F$5:$F$114,A7)</f>
        <v>60</v>
      </c>
      <c r="C7" s="0" t="n">
        <f aca="false">COUNTIFS(Calendar!$F$5:$F$114,A7,Calendar!$N$5:$N$114,"Posted")</f>
        <v>0</v>
      </c>
      <c r="D7" s="0" t="n">
        <f aca="false">B7-C7</f>
        <v>60</v>
      </c>
    </row>
    <row r="8" customFormat="false" ht="15" hidden="false" customHeight="false" outlineLevel="0" collapsed="false">
      <c r="A8" s="2" t="s">
        <v>549</v>
      </c>
      <c r="B8" s="10" t="n">
        <f aca="false">SUM(B4:B7)</f>
        <v>110</v>
      </c>
      <c r="C8" s="10" t="n">
        <f aca="false">SUM(C4:C7)</f>
        <v>0</v>
      </c>
      <c r="D8" s="10" t="n">
        <f aca="false">SUM(D4:D7)</f>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2026-09-24T22:28:35Z</dcterms:created>
  <dc:creator>openpyxl</dc:creator>
  <dc:description/>
  <dc:language>en-US</dc:language>
  <cp:lastModifiedBy/>
  <dcterms:modified xsi:type="dcterms:W3CDTF">2026-09-24T22:28:35Z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