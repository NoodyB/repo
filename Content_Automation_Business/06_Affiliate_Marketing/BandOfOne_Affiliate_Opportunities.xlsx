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rograms" sheetId="2" state="visible" r:id="rId4"/>
    <sheet name="Link Placeholder Map" sheetId="3" state="visible" r:id="rId5"/>
    <sheet name="Disclosure Language" sheetId="4" state="visible" r:id="rId6"/>
    <sheet name="Not Available" sheetId="5" state="visible" r:id="rId7"/>
  </sheets>
  <definedNames>
    <definedName function="false" hidden="true" localSheetId="2" name="_xlnm._FilterDatabase" vbProcedure="false">'Link Placeholder Map'!$A$1:$G$15</definedName>
    <definedName function="false" hidden="true" localSheetId="1" name="_xlnm._FilterDatabase" vbProcedure="false">Programs!$A$1:$S$16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<sst xmlns="http://schemas.openxmlformats.org/spreadsheetml/2006/main" count="357" uniqueCount="244">
  <si>
    <t xml:space="preserve">Band of One: Affiliate opportunities &amp; disclosure kit</t>
  </si>
  <si>
    <t xml:space="preserve">Terms captured from each program's official page on 2026-09-24. Re-verify before applying and every 90 days (see 'Days since verified').</t>
  </si>
  <si>
    <t xml:space="preserve">RULES</t>
  </si>
  <si>
    <t xml:space="preserve">1. You have NOT been accepted into any program. Every status starts as 'Not applied'.</t>
  </si>
  <si>
    <t xml:space="preserve">2. Never put an affiliate link on the site, in emails or in posts until the program has issued it to you. Until then the 'Issued link' column says [NOT ISSUED: do not use].</t>
  </si>
  <si>
    <t xml:space="preserve">3. When a link is issued: paste it into 'Issued link', set Status = Approved, then use the 'Link Placeholder Map' tab to see which articles can be updated.</t>
  </si>
  <si>
    <t xml:space="preserve">4. Every article with an affiliate link gets `affiliate: true` in its front matter (this shows the disclosure box) and '(affiliate link)' next to each link. Use rel="sponsored".</t>
  </si>
  <si>
    <t xml:space="preserve">5. Commission never decides a recommendation. If a free or non-affiliate option is better, say so.</t>
  </si>
  <si>
    <t xml:space="preserve">6. Don't use affiliate links in places a program forbids (some ban links in paid ads, emails or on coupon sites). Read each program's terms.</t>
  </si>
  <si>
    <t xml:space="preserve">7. FTC guidance: disclose material connections clearly and conspicuously: https://www.ftc.gov/business-guidance/resources/ftcs-endorsement-guides-what-people-are-asking</t>
  </si>
  <si>
    <t xml:space="preserve">TABS</t>
  </si>
  <si>
    <t xml:space="preserve">Programs: verified terms + your application tracker (yellow = you fill in).</t>
  </si>
  <si>
    <t xml:space="preserve">Link Placeholder Map: where an issued link would replace an official link, with a formula that says whether it's allowed yet.</t>
  </si>
  <si>
    <t xml:space="preserve">Disclosure Language: copy-paste disclosures for pages, articles, email, social and video.</t>
  </si>
  <si>
    <t xml:space="preserve">Not Available: programs that were closed, missing or unverifiable when checked.</t>
  </si>
  <si>
    <t xml:space="preserve">No commission amounts, conversion rates or earnings are projected anywhere in this workbook.</t>
  </si>
  <si>
    <t xml:space="preserve">Company</t>
  </si>
  <si>
    <t xml:space="preserve">Program</t>
  </si>
  <si>
    <t xml:space="preserve">Official program page</t>
  </si>
  <si>
    <t xml:space="preserve">How to apply</t>
  </si>
  <si>
    <t xml:space="preserve">Commission (as published)</t>
  </si>
  <si>
    <t xml:space="preserve">Cookie / attribution window</t>
  </si>
  <si>
    <t xml:space="preserve">Payout threshold &amp; method</t>
  </si>
  <si>
    <t xml:space="preserve">Geographic restrictions</t>
  </si>
  <si>
    <t xml:space="preserve">Approval requirements</t>
  </si>
  <si>
    <t xml:space="preserve">Relevant content topics</t>
  </si>
  <si>
    <t xml:space="preserve">Program-specific notes / disclosure rules</t>
  </si>
  <si>
    <t xml:space="preserve">Verification</t>
  </si>
  <si>
    <t xml:space="preserve">Last verified</t>
  </si>
  <si>
    <t xml:space="preserve">Days since verified</t>
  </si>
  <si>
    <t xml:space="preserve">Re-verify?</t>
  </si>
  <si>
    <t xml:space="preserve">Status</t>
  </si>
  <si>
    <t xml:space="preserve">Date applied</t>
  </si>
  <si>
    <t xml:space="preserve">Issued link</t>
  </si>
  <si>
    <t xml:space="preserve">Notes</t>
  </si>
  <si>
    <t xml:space="preserve">MailerLite</t>
  </si>
  <si>
    <t xml:space="preserve">MailerLite Affiliate Program</t>
  </si>
  <si>
    <t xml:space="preserve">https://www.mailerlite.com/affiliate</t>
  </si>
  <si>
    <t xml:space="preserve">mailerlite.trackdesk.com/sign-up</t>
  </si>
  <si>
    <t xml:space="preserve">30% recurring (lifetime of referral)</t>
  </si>
  <si>
    <t xml:space="preserve">45 days</t>
  </si>
  <si>
    <t xml:space="preserve">$100 minimum open balance from at least 2 unique sales; settled Fridays; 30-day on-hold period</t>
  </si>
  <si>
    <t xml:space="preserve">Not stated on page: check terms at signup</t>
  </si>
  <si>
    <t xml:space="preserve">Application reviewed (up to 10 business days)</t>
  </si>
  <si>
    <t xml:space="preserve">Newsletter tools; mailerlite-vs-kit-vs-beehiiv; minimum-tool-stack</t>
  </si>
  <si>
    <t xml:space="preserve">Program terms page: mailerlite.com/legal/affiliate-program-terms</t>
  </si>
  <si>
    <t xml:space="preserve">Verified official page</t>
  </si>
  <si>
    <t xml:space="preserve">Not applied</t>
  </si>
  <si>
    <t xml:space="preserve">[NOT ISSUED: do not use]</t>
  </si>
  <si>
    <t xml:space="preserve">Kit</t>
  </si>
  <si>
    <t xml:space="preserve">Kit Affiliate Program</t>
  </si>
  <si>
    <t xml:space="preserve">https://kit.com/affiliate</t>
  </si>
  <si>
    <t xml:space="preserve">dash.partnerstack.com/application?company=kit&amp;group=kitaffiliates</t>
  </si>
  <si>
    <t xml:space="preserve">50% for first 12 months; 10–20% recurring after 12 months with status tiers</t>
  </si>
  <si>
    <t xml:space="preserve">Not stated</t>
  </si>
  <si>
    <t xml:space="preserve">$5 threshold; paid around the 13th monthly (Stripe/PayPal/direct deposit); 31-day hold</t>
  </si>
  <si>
    <t xml:space="preserve">Applications reviewed individually; no audience-size requirement stated</t>
  </si>
  <si>
    <t xml:space="preserve">Newsletter tools; creator email</t>
  </si>
  <si>
    <t xml:space="preserve">Via PartnerStack</t>
  </si>
  <si>
    <t xml:space="preserve">beehiiv</t>
  </si>
  <si>
    <t xml:space="preserve">beehiiv Partner Program</t>
  </si>
  <si>
    <t xml:space="preserve">https://www.beehiiv.com/partners/affiliate</t>
  </si>
  <si>
    <t xml:space="preserve">app.beehiiv.com/partner_program</t>
  </si>
  <si>
    <t xml:space="preserve">Up to 60% of referral's payments for 12 months</t>
  </si>
  <si>
    <t xml:space="preserve">60 days</t>
  </si>
  <si>
    <t xml:space="preserve">Paid on the 15th for the prior month (threshold not captured)</t>
  </si>
  <si>
    <t xml:space="preserve">Newsletter platforms comparison</t>
  </si>
  <si>
    <t xml:space="preserve">Managed via Dub.co</t>
  </si>
  <si>
    <t xml:space="preserve">Notion</t>
  </si>
  <si>
    <t xml:space="preserve">Notion Affiliate Program</t>
  </si>
  <si>
    <t xml:space="preserve">https://www.notion.com/affiliates</t>
  </si>
  <si>
    <t xml:space="preserve">Via PartnerStack (link on official page)</t>
  </si>
  <si>
    <t xml:space="preserve">Up to $50 per activated signup + 20% of year-one revenue</t>
  </si>
  <si>
    <t xml:space="preserve">180 days</t>
  </si>
  <si>
    <t xml:space="preserve">Application (audience types listed on page)</t>
  </si>
  <si>
    <t xml:space="preserve">Client tracking; spreadsheet-vs-notion-vs-crm; SOP storage</t>
  </si>
  <si>
    <t xml:space="preserve">Make</t>
  </si>
  <si>
    <t xml:space="preserve">Make Affiliate Program</t>
  </si>
  <si>
    <t xml:space="preserve">https://www.make.com/en/affiliate</t>
  </si>
  <si>
    <t xml:space="preserve">make.com/user/affiliate</t>
  </si>
  <si>
    <t xml:space="preserve">35% for 12 months</t>
  </si>
  <si>
    <t xml:space="preserve">30 days</t>
  </si>
  <si>
    <t xml:space="preserve">$100 minimum; paid via Wise</t>
  </si>
  <si>
    <t xml:space="preserve">Open to anyone with a Make account (per page)</t>
  </si>
  <si>
    <t xml:space="preserve">Automation; make-vs-zapier-vs-n8n; what-to-automate-first</t>
  </si>
  <si>
    <t xml:space="preserve">n8n</t>
  </si>
  <si>
    <t xml:space="preserve">n8n Affiliate Program</t>
  </si>
  <si>
    <t xml:space="preserve">https://n8n.io/affiliates</t>
  </si>
  <si>
    <t xml:space="preserve">dash.partnerstack.com/application?company=n8n&amp;group=affiliates2025</t>
  </si>
  <si>
    <t xml:space="preserve">30% of n8n Cloud referrals for the first year</t>
  </si>
  <si>
    <t xml:space="preserve">Monthly payouts ≥ EUR 100 via PayPal</t>
  </si>
  <si>
    <t xml:space="preserve">Application via PartnerStack</t>
  </si>
  <si>
    <t xml:space="preserve">Automation comparison</t>
  </si>
  <si>
    <t xml:space="preserve">Cloud plans only (self-hosted is free)</t>
  </si>
  <si>
    <t xml:space="preserve">Tally</t>
  </si>
  <si>
    <t xml:space="preserve">Tally Referral Program</t>
  </si>
  <si>
    <t xml:space="preserve">https://tally.so/help/referral-program</t>
  </si>
  <si>
    <t xml:space="preserve">Tally dashboard → Rewards (needs a Tally account)</t>
  </si>
  <si>
    <t xml:space="preserve">20% of subscription payments, capped at $150 per referred user</t>
  </si>
  <si>
    <t xml:space="preserve">PayPal or Venmo (threshold not captured)</t>
  </si>
  <si>
    <t xml:space="preserve">No paid plan needed; self-referrals not allowed</t>
  </si>
  <si>
    <t xml:space="preserve">Intake forms; client-intake-form-tools; onboarding</t>
  </si>
  <si>
    <t xml:space="preserve">Referral program (not a classic affiliate network)</t>
  </si>
  <si>
    <t xml:space="preserve">Dubsado</t>
  </si>
  <si>
    <t xml:space="preserve">Dubsado Affiliate Program</t>
  </si>
  <si>
    <t xml:space="preserve">https://www.dubsado.com/affiliate-program</t>
  </si>
  <si>
    <t xml:space="preserve">app.dubsado.com/user/signup</t>
  </si>
  <si>
    <t xml:space="preserve">$35 per referral that stays on a paid plan for 60 days</t>
  </si>
  <si>
    <t xml:space="preserve">Open to anyone, including free-trial users (per page)</t>
  </si>
  <si>
    <t xml:space="preserve">Client management (CRM) comparisons</t>
  </si>
  <si>
    <t xml:space="preserve">Bonsai</t>
  </si>
  <si>
    <t xml:space="preserve">Bonsai Affiliate Program</t>
  </si>
  <si>
    <t xml:space="preserve">https://www.hellobonsai.com/affiliates</t>
  </si>
  <si>
    <t xml:space="preserve">hellobonsai.firstpromoter.com</t>
  </si>
  <si>
    <t xml:space="preserve">200% of first monthly payment (monthly plans); 30% (yearly plans)</t>
  </si>
  <si>
    <t xml:space="preserve">Monthly payouts (threshold not captured)</t>
  </si>
  <si>
    <t xml:space="preserve">Invoicing/CRM for freelancers</t>
  </si>
  <si>
    <t xml:space="preserve">Via FirstPromoter</t>
  </si>
  <si>
    <t xml:space="preserve">HoneyBook</t>
  </si>
  <si>
    <t xml:space="preserve">HoneyBook Referral Program</t>
  </si>
  <si>
    <t xml:space="preserve">https://www.honeybook.com/partnerships/referrals</t>
  </si>
  <si>
    <t xml:space="preserve">Via HoneyBook account</t>
  </si>
  <si>
    <t xml:space="preserve">$100 per paid subscriber + milestone bonuses; described as a limited-time offer</t>
  </si>
  <si>
    <t xml:space="preserve">1099-NEC issued if ≥ $600/year (US)</t>
  </si>
  <si>
    <t xml:space="preserve">US-focused (verify)</t>
  </si>
  <si>
    <t xml:space="preserve">Existing HoneyBook user referral</t>
  </si>
  <si>
    <t xml:space="preserve">Client management comparisons</t>
  </si>
  <si>
    <t xml:space="preserve">'Limited time offer, terms apply': re-check before relying on it</t>
  </si>
  <si>
    <t xml:space="preserve">Buffer</t>
  </si>
  <si>
    <t xml:space="preserve">Buffer Partner/Affiliate Program</t>
  </si>
  <si>
    <t xml:space="preserve">https://buffer.com/partners</t>
  </si>
  <si>
    <t xml:space="preserve">Via official page</t>
  </si>
  <si>
    <t xml:space="preserve">25% on new customers for 12 months (only when the referral pays)</t>
  </si>
  <si>
    <t xml:space="preserve">Social scheduling (marketing articles, future)</t>
  </si>
  <si>
    <t xml:space="preserve">Hostinger</t>
  </si>
  <si>
    <t xml:space="preserve">Hostinger Affiliate Program</t>
  </si>
  <si>
    <t xml:space="preserve">https://www.hostinger.com/affiliates</t>
  </si>
  <si>
    <t xml:space="preserve">affiliates.hostinger.com</t>
  </si>
  <si>
    <t xml:space="preserve">At least 40% per eligible sale; rises with volume</t>
  </si>
  <si>
    <t xml:space="preserve">Website hosting (only if you write hosting content)</t>
  </si>
  <si>
    <t xml:space="preserve">Descript</t>
  </si>
  <si>
    <t xml:space="preserve">Descript Affiliate Program</t>
  </si>
  <si>
    <t xml:space="preserve">https://www.descript.com/affiliate</t>
  </si>
  <si>
    <t xml:space="preserve">$25 flat per new qualifying subscription</t>
  </si>
  <si>
    <t xml:space="preserve">Paid via PayPal</t>
  </si>
  <si>
    <t xml:space="preserve">Video/podcast editing (social content workflow)</t>
  </si>
  <si>
    <t xml:space="preserve">Terms: descript.com/affiliate-terms</t>
  </si>
  <si>
    <t xml:space="preserve">Amazon</t>
  </si>
  <si>
    <t xml:space="preserve">Amazon Associates (US)</t>
  </si>
  <si>
    <t xml:space="preserve">https://affiliate-program.amazon.com/</t>
  </si>
  <si>
    <t xml:space="preserve">affiliate-program.amazon.com</t>
  </si>
  <si>
    <t xml:space="preserve">Fixed rate table by category, e.g. Physical Books 4.50%</t>
  </si>
  <si>
    <t xml:space="preserve">Per Amazon policy</t>
  </si>
  <si>
    <t xml:space="preserve">Per-marketplace programs</t>
  </si>
  <si>
    <t xml:space="preserve">Application; sales requirements apply (check operating agreement)</t>
  </si>
  <si>
    <t xml:space="preserve">Book recommendations (business books)</t>
  </si>
  <si>
    <t xml:space="preserve">Amazon requires specific disclosure wording: check the Operating Agreement</t>
  </si>
  <si>
    <t xml:space="preserve">Verified official page (rate table)</t>
  </si>
  <si>
    <t xml:space="preserve">Fathom</t>
  </si>
  <si>
    <t xml:space="preserve">Fathom Growth Partner Program</t>
  </si>
  <si>
    <t xml:space="preserve">https://fathom.ai/program/growth-partner</t>
  </si>
  <si>
    <t xml:space="preserve">Terms not captured</t>
  </si>
  <si>
    <t xml:space="preserve">Not captured</t>
  </si>
  <si>
    <t xml:space="preserve">For agencies and consultants</t>
  </si>
  <si>
    <t xml:space="preserve">AI meeting notes (future)</t>
  </si>
  <si>
    <t xml:space="preserve">Partially verified: page exists, terms not captured</t>
  </si>
  <si>
    <t xml:space="preserve">Article slug</t>
  </si>
  <si>
    <t xml:space="preserve">Tool</t>
  </si>
  <si>
    <t xml:space="preserve">Official link used today</t>
  </si>
  <si>
    <t xml:space="preserve">Placeholder ID</t>
  </si>
  <si>
    <t xml:space="preserve">Program status</t>
  </si>
  <si>
    <t xml:space="preserve">Action</t>
  </si>
  <si>
    <t xml:space="preserve">mailerlite-vs-kit-vs-beehiiv</t>
  </si>
  <si>
    <t xml:space="preserve">https://www.mailerlite.com/pricing</t>
  </si>
  <si>
    <t xml:space="preserve">AFF_MAILERLITE</t>
  </si>
  <si>
    <t xml:space="preserve">https://kit.com/pricing</t>
  </si>
  <si>
    <t xml:space="preserve">AFF_KIT</t>
  </si>
  <si>
    <t xml:space="preserve">https://www.beehiiv.com/pricing</t>
  </si>
  <si>
    <t xml:space="preserve">AFF_BEEHIIV</t>
  </si>
  <si>
    <t xml:space="preserve">minimum-tool-stack</t>
  </si>
  <si>
    <t xml:space="preserve">https://tally.so/pricing</t>
  </si>
  <si>
    <t xml:space="preserve">AFF_TALLY</t>
  </si>
  <si>
    <t xml:space="preserve">https://www.notion.com/pricing</t>
  </si>
  <si>
    <t xml:space="preserve">AFF_NOTION</t>
  </si>
  <si>
    <t xml:space="preserve">https://www.make.com/en/pricing</t>
  </si>
  <si>
    <t xml:space="preserve">AFF_MAKE</t>
  </si>
  <si>
    <t xml:space="preserve">make-vs-zapier-vs-n8n</t>
  </si>
  <si>
    <t xml:space="preserve">https://n8n.io/pricing/</t>
  </si>
  <si>
    <t xml:space="preserve">AFF_N8N</t>
  </si>
  <si>
    <t xml:space="preserve">what-to-automate-first</t>
  </si>
  <si>
    <t xml:space="preserve">client-intake-form-tools</t>
  </si>
  <si>
    <t xml:space="preserve">spreadsheet-vs-notion-vs-crm</t>
  </si>
  <si>
    <t xml:space="preserve">client-onboarding-checklist</t>
  </si>
  <si>
    <t xml:space="preserve">Where</t>
  </si>
  <si>
    <t xml:space="preserve">Type</t>
  </si>
  <si>
    <t xml:space="preserve">Copy-paste text</t>
  </si>
  <si>
    <t xml:space="preserve">Site-wide page</t>
  </si>
  <si>
    <t xml:space="preserve">Affiliate disclosure page</t>
  </si>
  <si>
    <t xml:space="preserve">Already live on the website draft: /affiliate-disclosure/ (currently states that there are no affiliate links).</t>
  </si>
  <si>
    <t xml:space="preserve">Top of article (before first link)</t>
  </si>
  <si>
    <t xml:space="preserve">Article disclosure box</t>
  </si>
  <si>
    <t xml:space="preserve">Disclosure: this article contains affiliate links, marked "(affiliate link)". If you buy through one, we may earn a commission at no extra cost to you. It never changes our recommendations.</t>
  </si>
  <si>
    <t xml:space="preserve">Next to each link</t>
  </si>
  <si>
    <t xml:space="preserve">Inline label</t>
  </si>
  <si>
    <t xml:space="preserve">Tool name (affiliate link)</t>
  </si>
  <si>
    <t xml:space="preserve">Tool comparison intro</t>
  </si>
  <si>
    <t xml:space="preserve">Relationship statement</t>
  </si>
  <si>
    <t xml:space="preserve">We're an affiliate for [TOOL A] and [TOOL B], which means we may earn a commission if you sign up through our links. We have no relationship with [TOOL C]. Our ratings are the same either way.</t>
  </si>
  <si>
    <t xml:space="preserve">Email newsletter</t>
  </si>
  <si>
    <t xml:space="preserve">Email line</t>
  </si>
  <si>
    <t xml:space="preserve">This email contains an affiliate link to [TOOL]. If you sign up through it, I may earn a commission at no extra cost to you.</t>
  </si>
  <si>
    <t xml:space="preserve">Social post (text)</t>
  </si>
  <si>
    <t xml:space="preserve">Post disclosure</t>
  </si>
  <si>
    <t xml:space="preserve">#ad: I earn a commission if you sign up through this link. I use/recommend it because [honest reason].</t>
  </si>
  <si>
    <t xml:space="preserve">Video / short-form</t>
  </si>
  <si>
    <t xml:space="preserve">Spoken + on-screen</t>
  </si>
  <si>
    <t xml:space="preserve">Say it out loud near the start ("This video includes an affiliate link") AND show it on screen; a caption alone may be missed.</t>
  </si>
  <si>
    <t xml:space="preserve">Own products</t>
  </si>
  <si>
    <t xml:space="preserve">Own-product statement</t>
  </si>
  <si>
    <t xml:space="preserve">This is a product we make and sell.</t>
  </si>
  <si>
    <t xml:space="preserve">Amazon links</t>
  </si>
  <si>
    <t xml:space="preserve">Amazon required wording</t>
  </si>
  <si>
    <t xml:space="preserve">As an Amazon Associate I earn from qualifying purchases. (Check the current Operating Agreement for the exact wording required.)</t>
  </si>
  <si>
    <t xml:space="preserve">Finding (checked 2026-09-24)</t>
  </si>
  <si>
    <t xml:space="preserve">Page checked</t>
  </si>
  <si>
    <t xml:space="preserve">Canva</t>
  </si>
  <si>
    <t xml:space="preserve">Affiliate program replaced by 'Canvassador'; closed to applications when checked</t>
  </si>
  <si>
    <t xml:space="preserve">canva.com/help/canva-affiliate-marketing-program</t>
  </si>
  <si>
    <t xml:space="preserve">Zapier</t>
  </si>
  <si>
    <t xml:space="preserve">No public affiliate page found (zapier.com/affiliates returned 404)</t>
  </si>
  <si>
    <t xml:space="preserve">zapier.com/affiliates</t>
  </si>
  <si>
    <t xml:space="preserve">Motion</t>
  </si>
  <si>
    <t xml:space="preserve">Affiliate page returned 404</t>
  </si>
  <si>
    <t xml:space="preserve">usemotion.com/affiliate-program</t>
  </si>
  <si>
    <t xml:space="preserve">Jotform</t>
  </si>
  <si>
    <t xml:space="preserve">jotform.com/affiliate-program/</t>
  </si>
  <si>
    <t xml:space="preserve">ClickUp</t>
  </si>
  <si>
    <t xml:space="preserve">Site blocked our check (403). A third-party summary claimed terms we could NOT verify: treat as unknown</t>
  </si>
  <si>
    <t xml:space="preserve">clickup.com</t>
  </si>
  <si>
    <t xml:space="preserve">ChatGPT / Claude / Gemini</t>
  </si>
  <si>
    <t xml:space="preserve">No consumer affiliate programs identified; not researched further</t>
  </si>
  <si>
    <t xml:space="preserve">-</t>
  </si>
  <si>
    <t xml:space="preserve">Google Forms</t>
  </si>
  <si>
    <t xml:space="preserve">No affiliate program (free Google product)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</si>
</sst>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4A45"/>
      <name val="Arial"/>
      <family val="0"/>
      <charset val="1"/>
    </font>
    <font>
      <i val="true"/>
      <sz val="11"/>
      <color rgb="FF56606B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B847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4A45"/>
        <bgColor rgb="FF0F6B64"/>
      </patternFill>
    </fill>
    <fill>
      <patternFill patternType="solid">
        <fgColor rgb="FFF2F2F2"/>
        <bgColor rgb="FFFFF8E1"/>
      </patternFill>
    </fill>
    <fill>
      <patternFill patternType="solid">
        <fgColor rgb="FFFFF8E1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4CA"/>
      </left>
      <right style="thin">
        <color rgb="FFD9D4CA"/>
      </right>
      <top style="thin">
        <color rgb="FFD9D4CA"/>
      </top>
      <bottom style="thin">
        <color rgb="FFD9D4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A4A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>
          <bgColor rgb="FFF8D7CD"/>
        </patternFill>
      </fill>
    </dxf>
    <dxf>
      <fill>
        <patternFill>
          <bgColor rgb="FFD8EF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64"/>
      <rgbColor rgb="FFC0C0C0"/>
      <rgbColor rgb="FF808080"/>
      <rgbColor rgb="FF9999FF"/>
      <rgbColor rgb="FF993366"/>
      <rgbColor rgb="FFFFF8E1"/>
      <rgbColor rgb="FFD8EFE9"/>
      <rgbColor rgb="FF660066"/>
      <rgbColor rgb="FFFF8080"/>
      <rgbColor rgb="FF0066CC"/>
      <rgbColor rgb="FFD9D4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8D7CD"/>
      <rgbColor rgb="FF3366FF"/>
      <rgbColor rgb="FF33CCCC"/>
      <rgbColor rgb="FF99CC00"/>
      <rgbColor rgb="FFFFCC00"/>
      <rgbColor rgb="FFFF9900"/>
      <rgbColor rgb="FFFF6600"/>
      <rgbColor rgb="FF56606B"/>
      <rgbColor rgb="FF969696"/>
      <rgbColor rgb="FF0A4A45"/>
      <rgbColor rgb="FF339966"/>
      <rgbColor rgb="FF003300"/>
      <rgbColor rgb="FF333300"/>
      <rgbColor rgb="FFB847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64"/>
    <pageSetUpPr fitToPage="false"/>
  </sheetPr>
  <dimension ref="B2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</row>
    <row r="7" customFormat="false" ht="26.85" hidden="false" customHeight="false" outlineLevel="0" collapsed="false">
      <c r="B7" s="5" t="s">
        <v>4</v>
      </c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5" t="s">
        <v>6</v>
      </c>
    </row>
    <row r="10" customFormat="false" ht="15" hidden="false" customHeight="false" outlineLevel="0" collapsed="false">
      <c r="B10" s="5" t="s">
        <v>7</v>
      </c>
    </row>
    <row r="11" customFormat="false" ht="15" hidden="false" customHeight="false" outlineLevel="0" collapsed="false">
      <c r="B11" s="5" t="s">
        <v>8</v>
      </c>
    </row>
    <row r="12" customFormat="false" ht="26.85" hidden="false" customHeight="false" outlineLevel="0" collapsed="false">
      <c r="B12" s="5" t="s">
        <v>9</v>
      </c>
    </row>
    <row r="13" customFormat="false" ht="15" hidden="false" customHeight="false" outlineLevel="0" collapsed="false">
      <c r="B13" s="3"/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5" t="s">
        <v>11</v>
      </c>
    </row>
    <row r="16" customFormat="false" ht="15" hidden="false" customHeight="false" outlineLevel="0" collapsed="false">
      <c r="B16" s="5" t="s">
        <v>12</v>
      </c>
    </row>
    <row r="17" customFormat="false" ht="15" hidden="false" customHeight="false" outlineLevel="0" collapsed="false">
      <c r="B17" s="5" t="s">
        <v>13</v>
      </c>
    </row>
    <row r="18" customFormat="false" ht="15" hidden="false" customHeight="false" outlineLevel="0" collapsed="false">
      <c r="B18" s="5" t="s">
        <v>14</v>
      </c>
    </row>
    <row r="19" customFormat="false" ht="15" hidden="false" customHeight="false" outlineLevel="0" collapsed="false">
      <c r="B19" s="3"/>
    </row>
    <row r="20" customFormat="false" ht="15" hidden="false" customHeight="false" outlineLevel="0" collapsed="false">
      <c r="B20" s="6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64"/>
    <pageSetUpPr fitToPage="false"/>
  </sheetPr>
  <dimension ref="A1:S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20"/>
    <col collapsed="false" customWidth="true" hidden="false" outlineLevel="0" max="9" min="9" style="0" width="26"/>
    <col collapsed="false" customWidth="true" hidden="false" outlineLevel="0" max="11" min="10" style="0" width="28"/>
    <col collapsed="false" customWidth="true" hidden="false" outlineLevel="0" max="12" min="12" style="0" width="18"/>
    <col collapsed="false" customWidth="true" hidden="false" outlineLevel="0" max="13" min="13" style="0" width="12"/>
    <col collapsed="false" customWidth="true" hidden="false" outlineLevel="0" max="15" min="14" style="0" width="10"/>
    <col collapsed="false" customWidth="true" hidden="false" outlineLevel="0" max="17" min="16" style="0" width="12"/>
    <col collapsed="false" customWidth="true" hidden="false" outlineLevel="0" max="18" min="18" style="0" width="22"/>
    <col collapsed="false" customWidth="true" hidden="false" outlineLevel="0" max="19" min="19" style="0" width="24"/>
  </cols>
  <sheetData>
    <row r="1" customFormat="false" ht="42" hidden="false" customHeight="true" outlineLevel="0" collapsed="false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32</v>
      </c>
      <c r="R1" s="7" t="s">
        <v>33</v>
      </c>
      <c r="S1" s="7" t="s">
        <v>34</v>
      </c>
    </row>
    <row r="2" customFormat="false" ht="32.8" hidden="false" customHeight="false" outlineLevel="0" collapsed="false">
      <c r="A2" s="8" t="s">
        <v>35</v>
      </c>
      <c r="B2" s="9" t="s">
        <v>36</v>
      </c>
      <c r="C2" s="10" t="s">
        <v>37</v>
      </c>
      <c r="D2" s="10" t="s">
        <v>38</v>
      </c>
      <c r="E2" s="10" t="s">
        <v>39</v>
      </c>
      <c r="F2" s="10" t="s">
        <v>40</v>
      </c>
      <c r="G2" s="10" t="s">
        <v>41</v>
      </c>
      <c r="H2" s="10" t="s">
        <v>42</v>
      </c>
      <c r="I2" s="10" t="s">
        <v>43</v>
      </c>
      <c r="J2" s="10" t="s">
        <v>44</v>
      </c>
      <c r="K2" s="10" t="s">
        <v>45</v>
      </c>
      <c r="L2" s="10" t="s">
        <v>46</v>
      </c>
      <c r="M2" s="11" t="n">
        <v>46289</v>
      </c>
      <c r="N2" s="12" t="n">
        <f aca="true">IF(M2="","",TODAY()-M2)</f>
        <v>0</v>
      </c>
      <c r="O2" s="13" t="str">
        <f aca="false">IF(N2="","",IF(N2&gt;90,"Re-verify","OK"))</f>
        <v>OK</v>
      </c>
      <c r="P2" s="14" t="s">
        <v>47</v>
      </c>
      <c r="Q2" s="14"/>
      <c r="R2" s="14" t="s">
        <v>48</v>
      </c>
      <c r="S2" s="14"/>
    </row>
    <row r="3" customFormat="false" ht="22.35" hidden="false" customHeight="false" outlineLevel="0" collapsed="false">
      <c r="A3" s="8" t="s">
        <v>49</v>
      </c>
      <c r="B3" s="9" t="s">
        <v>50</v>
      </c>
      <c r="C3" s="10" t="s">
        <v>51</v>
      </c>
      <c r="D3" s="10" t="s">
        <v>52</v>
      </c>
      <c r="E3" s="10" t="s">
        <v>53</v>
      </c>
      <c r="F3" s="10" t="s">
        <v>54</v>
      </c>
      <c r="G3" s="10" t="s">
        <v>55</v>
      </c>
      <c r="H3" s="10" t="s">
        <v>42</v>
      </c>
      <c r="I3" s="10" t="s">
        <v>56</v>
      </c>
      <c r="J3" s="10" t="s">
        <v>57</v>
      </c>
      <c r="K3" s="10" t="s">
        <v>58</v>
      </c>
      <c r="L3" s="10" t="s">
        <v>46</v>
      </c>
      <c r="M3" s="11" t="n">
        <v>46289</v>
      </c>
      <c r="N3" s="12" t="n">
        <f aca="true">IF(M3="","",TODAY()-M3)</f>
        <v>0</v>
      </c>
      <c r="O3" s="13" t="str">
        <f aca="false">IF(N3="","",IF(N3&gt;90,"Re-verify","OK"))</f>
        <v>OK</v>
      </c>
      <c r="P3" s="14" t="s">
        <v>47</v>
      </c>
      <c r="Q3" s="14"/>
      <c r="R3" s="14" t="s">
        <v>48</v>
      </c>
      <c r="S3" s="14"/>
    </row>
    <row r="4" customFormat="false" ht="22.35" hidden="false" customHeight="false" outlineLevel="0" collapsed="false">
      <c r="A4" s="8" t="s">
        <v>59</v>
      </c>
      <c r="B4" s="9" t="s">
        <v>60</v>
      </c>
      <c r="C4" s="10" t="s">
        <v>61</v>
      </c>
      <c r="D4" s="10" t="s">
        <v>62</v>
      </c>
      <c r="E4" s="10" t="s">
        <v>63</v>
      </c>
      <c r="F4" s="10" t="s">
        <v>64</v>
      </c>
      <c r="G4" s="10" t="s">
        <v>65</v>
      </c>
      <c r="H4" s="10" t="s">
        <v>42</v>
      </c>
      <c r="I4" s="10" t="s">
        <v>42</v>
      </c>
      <c r="J4" s="10" t="s">
        <v>66</v>
      </c>
      <c r="K4" s="10" t="s">
        <v>67</v>
      </c>
      <c r="L4" s="10" t="s">
        <v>46</v>
      </c>
      <c r="M4" s="11" t="n">
        <v>46289</v>
      </c>
      <c r="N4" s="12" t="n">
        <f aca="true">IF(M4="","",TODAY()-M4)</f>
        <v>0</v>
      </c>
      <c r="O4" s="13" t="str">
        <f aca="false">IF(N4="","",IF(N4&gt;90,"Re-verify","OK"))</f>
        <v>OK</v>
      </c>
      <c r="P4" s="14" t="s">
        <v>47</v>
      </c>
      <c r="Q4" s="14"/>
      <c r="R4" s="14" t="s">
        <v>48</v>
      </c>
      <c r="S4" s="14"/>
    </row>
    <row r="5" customFormat="false" ht="22.35" hidden="false" customHeight="false" outlineLevel="0" collapsed="false">
      <c r="A5" s="8" t="s">
        <v>68</v>
      </c>
      <c r="B5" s="9" t="s">
        <v>69</v>
      </c>
      <c r="C5" s="10" t="s">
        <v>70</v>
      </c>
      <c r="D5" s="10" t="s">
        <v>71</v>
      </c>
      <c r="E5" s="10" t="s">
        <v>72</v>
      </c>
      <c r="F5" s="10" t="s">
        <v>73</v>
      </c>
      <c r="G5" s="10" t="s">
        <v>42</v>
      </c>
      <c r="H5" s="10" t="s">
        <v>42</v>
      </c>
      <c r="I5" s="10" t="s">
        <v>74</v>
      </c>
      <c r="J5" s="10" t="s">
        <v>75</v>
      </c>
      <c r="K5" s="10" t="s">
        <v>58</v>
      </c>
      <c r="L5" s="10" t="s">
        <v>46</v>
      </c>
      <c r="M5" s="11" t="n">
        <v>46289</v>
      </c>
      <c r="N5" s="12" t="n">
        <f aca="true">IF(M5="","",TODAY()-M5)</f>
        <v>0</v>
      </c>
      <c r="O5" s="13" t="str">
        <f aca="false">IF(N5="","",IF(N5&gt;90,"Re-verify","OK"))</f>
        <v>OK</v>
      </c>
      <c r="P5" s="14" t="s">
        <v>47</v>
      </c>
      <c r="Q5" s="14"/>
      <c r="R5" s="14" t="s">
        <v>48</v>
      </c>
      <c r="S5" s="14"/>
    </row>
    <row r="6" customFormat="false" ht="22.35" hidden="false" customHeight="false" outlineLevel="0" collapsed="false">
      <c r="A6" s="8" t="s">
        <v>76</v>
      </c>
      <c r="B6" s="9" t="s">
        <v>77</v>
      </c>
      <c r="C6" s="10" t="s">
        <v>78</v>
      </c>
      <c r="D6" s="10" t="s">
        <v>79</v>
      </c>
      <c r="E6" s="10" t="s">
        <v>80</v>
      </c>
      <c r="F6" s="10" t="s">
        <v>81</v>
      </c>
      <c r="G6" s="10" t="s">
        <v>82</v>
      </c>
      <c r="H6" s="10" t="s">
        <v>42</v>
      </c>
      <c r="I6" s="10" t="s">
        <v>83</v>
      </c>
      <c r="J6" s="10" t="s">
        <v>84</v>
      </c>
      <c r="K6" s="10"/>
      <c r="L6" s="10" t="s">
        <v>46</v>
      </c>
      <c r="M6" s="11" t="n">
        <v>46289</v>
      </c>
      <c r="N6" s="12" t="n">
        <f aca="true">IF(M6="","",TODAY()-M6)</f>
        <v>0</v>
      </c>
      <c r="O6" s="13" t="str">
        <f aca="false">IF(N6="","",IF(N6&gt;90,"Re-verify","OK"))</f>
        <v>OK</v>
      </c>
      <c r="P6" s="14" t="s">
        <v>47</v>
      </c>
      <c r="Q6" s="14"/>
      <c r="R6" s="14" t="s">
        <v>48</v>
      </c>
      <c r="S6" s="14"/>
    </row>
    <row r="7" customFormat="false" ht="22.35" hidden="false" customHeight="false" outlineLevel="0" collapsed="false">
      <c r="A7" s="8" t="s">
        <v>85</v>
      </c>
      <c r="B7" s="9" t="s">
        <v>86</v>
      </c>
      <c r="C7" s="10" t="s">
        <v>87</v>
      </c>
      <c r="D7" s="10" t="s">
        <v>88</v>
      </c>
      <c r="E7" s="10" t="s">
        <v>89</v>
      </c>
      <c r="F7" s="10" t="s">
        <v>54</v>
      </c>
      <c r="G7" s="10" t="s">
        <v>90</v>
      </c>
      <c r="H7" s="10" t="s">
        <v>42</v>
      </c>
      <c r="I7" s="10" t="s">
        <v>91</v>
      </c>
      <c r="J7" s="10" t="s">
        <v>92</v>
      </c>
      <c r="K7" s="10" t="s">
        <v>93</v>
      </c>
      <c r="L7" s="10" t="s">
        <v>46</v>
      </c>
      <c r="M7" s="11" t="n">
        <v>46289</v>
      </c>
      <c r="N7" s="12" t="n">
        <f aca="true">IF(M7="","",TODAY()-M7)</f>
        <v>0</v>
      </c>
      <c r="O7" s="13" t="str">
        <f aca="false">IF(N7="","",IF(N7&gt;90,"Re-verify","OK"))</f>
        <v>OK</v>
      </c>
      <c r="P7" s="14" t="s">
        <v>47</v>
      </c>
      <c r="Q7" s="14"/>
      <c r="R7" s="14" t="s">
        <v>48</v>
      </c>
      <c r="S7" s="14"/>
    </row>
    <row r="8" customFormat="false" ht="22.35" hidden="false" customHeight="false" outlineLevel="0" collapsed="false">
      <c r="A8" s="8" t="s">
        <v>94</v>
      </c>
      <c r="B8" s="9" t="s">
        <v>95</v>
      </c>
      <c r="C8" s="10" t="s">
        <v>96</v>
      </c>
      <c r="D8" s="10" t="s">
        <v>97</v>
      </c>
      <c r="E8" s="10" t="s">
        <v>98</v>
      </c>
      <c r="F8" s="10" t="s">
        <v>54</v>
      </c>
      <c r="G8" s="10" t="s">
        <v>99</v>
      </c>
      <c r="H8" s="10" t="s">
        <v>42</v>
      </c>
      <c r="I8" s="10" t="s">
        <v>100</v>
      </c>
      <c r="J8" s="10" t="s">
        <v>101</v>
      </c>
      <c r="K8" s="10" t="s">
        <v>102</v>
      </c>
      <c r="L8" s="10" t="s">
        <v>46</v>
      </c>
      <c r="M8" s="11" t="n">
        <v>46289</v>
      </c>
      <c r="N8" s="12" t="n">
        <f aca="true">IF(M8="","",TODAY()-M8)</f>
        <v>0</v>
      </c>
      <c r="O8" s="13" t="str">
        <f aca="false">IF(N8="","",IF(N8&gt;90,"Re-verify","OK"))</f>
        <v>OK</v>
      </c>
      <c r="P8" s="14" t="s">
        <v>47</v>
      </c>
      <c r="Q8" s="14"/>
      <c r="R8" s="14" t="s">
        <v>48</v>
      </c>
      <c r="S8" s="14"/>
    </row>
    <row r="9" customFormat="false" ht="22.35" hidden="false" customHeight="false" outlineLevel="0" collapsed="false">
      <c r="A9" s="8" t="s">
        <v>103</v>
      </c>
      <c r="B9" s="9" t="s">
        <v>104</v>
      </c>
      <c r="C9" s="10" t="s">
        <v>105</v>
      </c>
      <c r="D9" s="10" t="s">
        <v>106</v>
      </c>
      <c r="E9" s="10" t="s">
        <v>107</v>
      </c>
      <c r="F9" s="10" t="s">
        <v>54</v>
      </c>
      <c r="G9" s="10" t="s">
        <v>42</v>
      </c>
      <c r="H9" s="10" t="s">
        <v>42</v>
      </c>
      <c r="I9" s="10" t="s">
        <v>108</v>
      </c>
      <c r="J9" s="10" t="s">
        <v>109</v>
      </c>
      <c r="K9" s="10"/>
      <c r="L9" s="10" t="s">
        <v>46</v>
      </c>
      <c r="M9" s="11" t="n">
        <v>46289</v>
      </c>
      <c r="N9" s="12" t="n">
        <f aca="true">IF(M9="","",TODAY()-M9)</f>
        <v>0</v>
      </c>
      <c r="O9" s="13" t="str">
        <f aca="false">IF(N9="","",IF(N9&gt;90,"Re-verify","OK"))</f>
        <v>OK</v>
      </c>
      <c r="P9" s="14" t="s">
        <v>47</v>
      </c>
      <c r="Q9" s="14"/>
      <c r="R9" s="14" t="s">
        <v>48</v>
      </c>
      <c r="S9" s="14"/>
    </row>
    <row r="10" customFormat="false" ht="22.35" hidden="false" customHeight="false" outlineLevel="0" collapsed="false">
      <c r="A10" s="8" t="s">
        <v>110</v>
      </c>
      <c r="B10" s="9" t="s">
        <v>111</v>
      </c>
      <c r="C10" s="10" t="s">
        <v>112</v>
      </c>
      <c r="D10" s="10" t="s">
        <v>113</v>
      </c>
      <c r="E10" s="10" t="s">
        <v>114</v>
      </c>
      <c r="F10" s="10" t="s">
        <v>64</v>
      </c>
      <c r="G10" s="10" t="s">
        <v>115</v>
      </c>
      <c r="H10" s="10" t="s">
        <v>42</v>
      </c>
      <c r="I10" s="10" t="s">
        <v>42</v>
      </c>
      <c r="J10" s="10" t="s">
        <v>116</v>
      </c>
      <c r="K10" s="10" t="s">
        <v>117</v>
      </c>
      <c r="L10" s="10" t="s">
        <v>46</v>
      </c>
      <c r="M10" s="11" t="n">
        <v>46289</v>
      </c>
      <c r="N10" s="12" t="n">
        <f aca="true">IF(M10="","",TODAY()-M10)</f>
        <v>0</v>
      </c>
      <c r="O10" s="13" t="str">
        <f aca="false">IF(N10="","",IF(N10&gt;90,"Re-verify","OK"))</f>
        <v>OK</v>
      </c>
      <c r="P10" s="14" t="s">
        <v>47</v>
      </c>
      <c r="Q10" s="14"/>
      <c r="R10" s="14" t="s">
        <v>48</v>
      </c>
      <c r="S10" s="14"/>
    </row>
    <row r="11" customFormat="false" ht="22.35" hidden="false" customHeight="false" outlineLevel="0" collapsed="false">
      <c r="A11" s="8" t="s">
        <v>118</v>
      </c>
      <c r="B11" s="9" t="s">
        <v>119</v>
      </c>
      <c r="C11" s="10" t="s">
        <v>120</v>
      </c>
      <c r="D11" s="10" t="s">
        <v>121</v>
      </c>
      <c r="E11" s="10" t="s">
        <v>122</v>
      </c>
      <c r="F11" s="10" t="s">
        <v>54</v>
      </c>
      <c r="G11" s="10" t="s">
        <v>123</v>
      </c>
      <c r="H11" s="10" t="s">
        <v>124</v>
      </c>
      <c r="I11" s="10" t="s">
        <v>125</v>
      </c>
      <c r="J11" s="10" t="s">
        <v>126</v>
      </c>
      <c r="K11" s="10" t="s">
        <v>127</v>
      </c>
      <c r="L11" s="10" t="s">
        <v>46</v>
      </c>
      <c r="M11" s="11" t="n">
        <v>46289</v>
      </c>
      <c r="N11" s="12" t="n">
        <f aca="true">IF(M11="","",TODAY()-M11)</f>
        <v>0</v>
      </c>
      <c r="O11" s="13" t="str">
        <f aca="false">IF(N11="","",IF(N11&gt;90,"Re-verify","OK"))</f>
        <v>OK</v>
      </c>
      <c r="P11" s="14" t="s">
        <v>47</v>
      </c>
      <c r="Q11" s="14"/>
      <c r="R11" s="14" t="s">
        <v>48</v>
      </c>
      <c r="S11" s="14"/>
    </row>
    <row r="12" customFormat="false" ht="23.85" hidden="false" customHeight="false" outlineLevel="0" collapsed="false">
      <c r="A12" s="8" t="s">
        <v>128</v>
      </c>
      <c r="B12" s="9" t="s">
        <v>129</v>
      </c>
      <c r="C12" s="10" t="s">
        <v>130</v>
      </c>
      <c r="D12" s="10" t="s">
        <v>131</v>
      </c>
      <c r="E12" s="10" t="s">
        <v>132</v>
      </c>
      <c r="F12" s="10" t="s">
        <v>54</v>
      </c>
      <c r="G12" s="10" t="s">
        <v>42</v>
      </c>
      <c r="H12" s="10" t="s">
        <v>42</v>
      </c>
      <c r="I12" s="10" t="s">
        <v>42</v>
      </c>
      <c r="J12" s="10" t="s">
        <v>133</v>
      </c>
      <c r="K12" s="10"/>
      <c r="L12" s="10" t="s">
        <v>46</v>
      </c>
      <c r="M12" s="11" t="n">
        <v>46289</v>
      </c>
      <c r="N12" s="12" t="n">
        <f aca="true">IF(M12="","",TODAY()-M12)</f>
        <v>0</v>
      </c>
      <c r="O12" s="13" t="str">
        <f aca="false">IF(N12="","",IF(N12&gt;90,"Re-verify","OK"))</f>
        <v>OK</v>
      </c>
      <c r="P12" s="14" t="s">
        <v>47</v>
      </c>
      <c r="Q12" s="14"/>
      <c r="R12" s="14" t="s">
        <v>48</v>
      </c>
      <c r="S12" s="14"/>
    </row>
    <row r="13" customFormat="false" ht="22.35" hidden="false" customHeight="false" outlineLevel="0" collapsed="false">
      <c r="A13" s="8" t="s">
        <v>134</v>
      </c>
      <c r="B13" s="9" t="s">
        <v>135</v>
      </c>
      <c r="C13" s="10" t="s">
        <v>136</v>
      </c>
      <c r="D13" s="10" t="s">
        <v>137</v>
      </c>
      <c r="E13" s="10" t="s">
        <v>138</v>
      </c>
      <c r="F13" s="10" t="s">
        <v>54</v>
      </c>
      <c r="G13" s="10" t="s">
        <v>42</v>
      </c>
      <c r="H13" s="10" t="s">
        <v>42</v>
      </c>
      <c r="I13" s="10" t="s">
        <v>42</v>
      </c>
      <c r="J13" s="10" t="s">
        <v>139</v>
      </c>
      <c r="K13" s="10"/>
      <c r="L13" s="10" t="s">
        <v>46</v>
      </c>
      <c r="M13" s="11" t="n">
        <v>46289</v>
      </c>
      <c r="N13" s="12" t="n">
        <f aca="true">IF(M13="","",TODAY()-M13)</f>
        <v>0</v>
      </c>
      <c r="O13" s="13" t="str">
        <f aca="false">IF(N13="","",IF(N13&gt;90,"Re-verify","OK"))</f>
        <v>OK</v>
      </c>
      <c r="P13" s="14" t="s">
        <v>47</v>
      </c>
      <c r="Q13" s="14"/>
      <c r="R13" s="14" t="s">
        <v>48</v>
      </c>
      <c r="S13" s="14"/>
    </row>
    <row r="14" customFormat="false" ht="22.35" hidden="false" customHeight="false" outlineLevel="0" collapsed="false">
      <c r="A14" s="8" t="s">
        <v>140</v>
      </c>
      <c r="B14" s="9" t="s">
        <v>141</v>
      </c>
      <c r="C14" s="10" t="s">
        <v>142</v>
      </c>
      <c r="D14" s="10" t="s">
        <v>58</v>
      </c>
      <c r="E14" s="10" t="s">
        <v>143</v>
      </c>
      <c r="F14" s="10" t="s">
        <v>54</v>
      </c>
      <c r="G14" s="10" t="s">
        <v>144</v>
      </c>
      <c r="H14" s="10" t="s">
        <v>42</v>
      </c>
      <c r="I14" s="10" t="s">
        <v>42</v>
      </c>
      <c r="J14" s="10" t="s">
        <v>145</v>
      </c>
      <c r="K14" s="10" t="s">
        <v>146</v>
      </c>
      <c r="L14" s="10" t="s">
        <v>46</v>
      </c>
      <c r="M14" s="11" t="n">
        <v>46289</v>
      </c>
      <c r="N14" s="12" t="n">
        <f aca="true">IF(M14="","",TODAY()-M14)</f>
        <v>0</v>
      </c>
      <c r="O14" s="13" t="str">
        <f aca="false">IF(N14="","",IF(N14&gt;90,"Re-verify","OK"))</f>
        <v>OK</v>
      </c>
      <c r="P14" s="14" t="s">
        <v>47</v>
      </c>
      <c r="Q14" s="14"/>
      <c r="R14" s="14" t="s">
        <v>48</v>
      </c>
      <c r="S14" s="14"/>
    </row>
    <row r="15" customFormat="false" ht="22.35" hidden="false" customHeight="false" outlineLevel="0" collapsed="false">
      <c r="A15" s="8" t="s">
        <v>147</v>
      </c>
      <c r="B15" s="9" t="s">
        <v>148</v>
      </c>
      <c r="C15" s="10" t="s">
        <v>149</v>
      </c>
      <c r="D15" s="10" t="s">
        <v>150</v>
      </c>
      <c r="E15" s="10" t="s">
        <v>151</v>
      </c>
      <c r="F15" s="10" t="s">
        <v>152</v>
      </c>
      <c r="G15" s="10" t="s">
        <v>152</v>
      </c>
      <c r="H15" s="10" t="s">
        <v>153</v>
      </c>
      <c r="I15" s="10" t="s">
        <v>154</v>
      </c>
      <c r="J15" s="10" t="s">
        <v>155</v>
      </c>
      <c r="K15" s="10" t="s">
        <v>156</v>
      </c>
      <c r="L15" s="10" t="s">
        <v>157</v>
      </c>
      <c r="M15" s="11" t="n">
        <v>46289</v>
      </c>
      <c r="N15" s="12" t="n">
        <f aca="true">IF(M15="","",TODAY()-M15)</f>
        <v>0</v>
      </c>
      <c r="O15" s="13" t="str">
        <f aca="false">IF(N15="","",IF(N15&gt;90,"Re-verify","OK"))</f>
        <v>OK</v>
      </c>
      <c r="P15" s="14" t="s">
        <v>47</v>
      </c>
      <c r="Q15" s="14"/>
      <c r="R15" s="14" t="s">
        <v>48</v>
      </c>
      <c r="S15" s="14"/>
    </row>
    <row r="16" customFormat="false" ht="23.85" hidden="false" customHeight="false" outlineLevel="0" collapsed="false">
      <c r="A16" s="8" t="s">
        <v>158</v>
      </c>
      <c r="B16" s="9" t="s">
        <v>159</v>
      </c>
      <c r="C16" s="10" t="s">
        <v>160</v>
      </c>
      <c r="D16" s="10" t="s">
        <v>58</v>
      </c>
      <c r="E16" s="10" t="s">
        <v>161</v>
      </c>
      <c r="F16" s="10" t="s">
        <v>162</v>
      </c>
      <c r="G16" s="10" t="s">
        <v>162</v>
      </c>
      <c r="H16" s="10" t="s">
        <v>42</v>
      </c>
      <c r="I16" s="10" t="s">
        <v>163</v>
      </c>
      <c r="J16" s="10" t="s">
        <v>164</v>
      </c>
      <c r="K16" s="10"/>
      <c r="L16" s="10" t="s">
        <v>165</v>
      </c>
      <c r="M16" s="11" t="n">
        <v>46289</v>
      </c>
      <c r="N16" s="12" t="n">
        <f aca="true">IF(M16="","",TODAY()-M16)</f>
        <v>0</v>
      </c>
      <c r="O16" s="13" t="str">
        <f aca="false">IF(N16="","",IF(N16&gt;90,"Re-verify","OK"))</f>
        <v>OK</v>
      </c>
      <c r="P16" s="14" t="s">
        <v>47</v>
      </c>
      <c r="Q16" s="14"/>
      <c r="R16" s="14" t="s">
        <v>48</v>
      </c>
      <c r="S16" s="14"/>
    </row>
  </sheetData>
  <autoFilter ref="A1:S16"/>
  <conditionalFormatting sqref="O2:O16">
    <cfRule type="expression" priority="2" aboveAverage="0" equalAverage="0" bottom="0" percent="0" rank="0" text="" dxfId="5">
      <formula>$O2="Re-verify"</formula>
    </cfRule>
  </conditionalFormatting>
  <conditionalFormatting sqref="P2:P16">
    <cfRule type="expression" priority="3" aboveAverage="0" equalAverage="0" bottom="0" percent="0" rank="0" text="" dxfId="6">
      <formula>$P2="Approved"</formula>
    </cfRule>
  </conditionalFormatting>
  <dataValidations count="1">
    <dataValidation allowBlank="false" errorStyle="stop" operator="between" showDropDown="false" showErrorMessage="false" showInputMessage="false" sqref="P2:P16" type="list">
      <formula1>"Not applied,Applied,Approved,Rejected,Paused"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64"/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44"/>
  </cols>
  <sheetData>
    <row r="1" customFormat="false" ht="15" hidden="false" customHeight="false" outlineLevel="0" collapsed="false">
      <c r="A1" s="7" t="s">
        <v>166</v>
      </c>
      <c r="B1" s="7" t="s">
        <v>167</v>
      </c>
      <c r="C1" s="7" t="s">
        <v>168</v>
      </c>
      <c r="D1" s="7" t="s">
        <v>169</v>
      </c>
      <c r="E1" s="7" t="s">
        <v>170</v>
      </c>
      <c r="F1" s="7" t="s">
        <v>33</v>
      </c>
      <c r="G1" s="7" t="s">
        <v>171</v>
      </c>
    </row>
    <row r="2" customFormat="false" ht="15" hidden="false" customHeight="false" outlineLevel="0" collapsed="false">
      <c r="A2" s="8" t="s">
        <v>172</v>
      </c>
      <c r="B2" s="9" t="s">
        <v>35</v>
      </c>
      <c r="C2" s="10" t="s">
        <v>173</v>
      </c>
      <c r="D2" s="10" t="s">
        <v>174</v>
      </c>
      <c r="E2" s="12" t="str">
        <f aca="false">IFERROR(INDEX(Programs!$P$2:$P$16,MATCH(B2,Programs!$A$2:$A$16,0)),"No program")</f>
        <v>Not applied</v>
      </c>
      <c r="F2" s="12" t="str">
        <f aca="false">IFERROR(INDEX(Programs!$R$2:$R$16,MATCH(B2,Programs!$A$2:$A$16,0)),"")</f>
        <v>[NOT ISSUED: do not use]</v>
      </c>
      <c r="G2" s="12" t="str">
        <f aca="false">IF(AND(E2="Approved",F2&lt;&gt;"",F2&lt;&gt;"[NOT ISSUED: do not use]"),"Allowed: swap link, label (affiliate link), set affiliate: true","Keep the official link")</f>
        <v>Keep the official link</v>
      </c>
    </row>
    <row r="3" customFormat="false" ht="15" hidden="false" customHeight="false" outlineLevel="0" collapsed="false">
      <c r="A3" s="8" t="s">
        <v>172</v>
      </c>
      <c r="B3" s="9" t="s">
        <v>49</v>
      </c>
      <c r="C3" s="10" t="s">
        <v>175</v>
      </c>
      <c r="D3" s="10" t="s">
        <v>176</v>
      </c>
      <c r="E3" s="12" t="str">
        <f aca="false">IFERROR(INDEX(Programs!$P$2:$P$16,MATCH(B3,Programs!$A$2:$A$16,0)),"No program")</f>
        <v>Not applied</v>
      </c>
      <c r="F3" s="12" t="str">
        <f aca="false">IFERROR(INDEX(Programs!$R$2:$R$16,MATCH(B3,Programs!$A$2:$A$16,0)),"")</f>
        <v>[NOT ISSUED: do not use]</v>
      </c>
      <c r="G3" s="12" t="str">
        <f aca="false">IF(AND(E3="Approved",F3&lt;&gt;"",F3&lt;&gt;"[NOT ISSUED: do not use]"),"Allowed: swap link, label (affiliate link), set affiliate: true","Keep the official link")</f>
        <v>Keep the official link</v>
      </c>
    </row>
    <row r="4" customFormat="false" ht="15" hidden="false" customHeight="false" outlineLevel="0" collapsed="false">
      <c r="A4" s="8" t="s">
        <v>172</v>
      </c>
      <c r="B4" s="9" t="s">
        <v>59</v>
      </c>
      <c r="C4" s="10" t="s">
        <v>177</v>
      </c>
      <c r="D4" s="10" t="s">
        <v>178</v>
      </c>
      <c r="E4" s="12" t="str">
        <f aca="false">IFERROR(INDEX(Programs!$P$2:$P$16,MATCH(B4,Programs!$A$2:$A$16,0)),"No program")</f>
        <v>Not applied</v>
      </c>
      <c r="F4" s="12" t="str">
        <f aca="false">IFERROR(INDEX(Programs!$R$2:$R$16,MATCH(B4,Programs!$A$2:$A$16,0)),"")</f>
        <v>[NOT ISSUED: do not use]</v>
      </c>
      <c r="G4" s="12" t="str">
        <f aca="false">IF(AND(E4="Approved",F4&lt;&gt;"",F4&lt;&gt;"[NOT ISSUED: do not use]"),"Allowed: swap link, label (affiliate link), set affiliate: true","Keep the official link")</f>
        <v>Keep the official link</v>
      </c>
    </row>
    <row r="5" customFormat="false" ht="15" hidden="false" customHeight="false" outlineLevel="0" collapsed="false">
      <c r="A5" s="8" t="s">
        <v>179</v>
      </c>
      <c r="B5" s="9" t="s">
        <v>35</v>
      </c>
      <c r="C5" s="10" t="s">
        <v>173</v>
      </c>
      <c r="D5" s="10" t="s">
        <v>174</v>
      </c>
      <c r="E5" s="12" t="str">
        <f aca="false">IFERROR(INDEX(Programs!$P$2:$P$16,MATCH(B5,Programs!$A$2:$A$16,0)),"No program")</f>
        <v>Not applied</v>
      </c>
      <c r="F5" s="12" t="str">
        <f aca="false">IFERROR(INDEX(Programs!$R$2:$R$16,MATCH(B5,Programs!$A$2:$A$16,0)),"")</f>
        <v>[NOT ISSUED: do not use]</v>
      </c>
      <c r="G5" s="12" t="str">
        <f aca="false">IF(AND(E5="Approved",F5&lt;&gt;"",F5&lt;&gt;"[NOT ISSUED: do not use]"),"Allowed: swap link, label (affiliate link), set affiliate: true","Keep the official link")</f>
        <v>Keep the official link</v>
      </c>
    </row>
    <row r="6" customFormat="false" ht="15" hidden="false" customHeight="false" outlineLevel="0" collapsed="false">
      <c r="A6" s="8" t="s">
        <v>179</v>
      </c>
      <c r="B6" s="9" t="s">
        <v>49</v>
      </c>
      <c r="C6" s="10" t="s">
        <v>175</v>
      </c>
      <c r="D6" s="10" t="s">
        <v>176</v>
      </c>
      <c r="E6" s="12" t="str">
        <f aca="false">IFERROR(INDEX(Programs!$P$2:$P$16,MATCH(B6,Programs!$A$2:$A$16,0)),"No program")</f>
        <v>Not applied</v>
      </c>
      <c r="F6" s="12" t="str">
        <f aca="false">IFERROR(INDEX(Programs!$R$2:$R$16,MATCH(B6,Programs!$A$2:$A$16,0)),"")</f>
        <v>[NOT ISSUED: do not use]</v>
      </c>
      <c r="G6" s="12" t="str">
        <f aca="false">IF(AND(E6="Approved",F6&lt;&gt;"",F6&lt;&gt;"[NOT ISSUED: do not use]"),"Allowed: swap link, label (affiliate link), set affiliate: true","Keep the official link")</f>
        <v>Keep the official link</v>
      </c>
    </row>
    <row r="7" customFormat="false" ht="15" hidden="false" customHeight="false" outlineLevel="0" collapsed="false">
      <c r="A7" s="8" t="s">
        <v>179</v>
      </c>
      <c r="B7" s="9" t="s">
        <v>94</v>
      </c>
      <c r="C7" s="10" t="s">
        <v>180</v>
      </c>
      <c r="D7" s="10" t="s">
        <v>181</v>
      </c>
      <c r="E7" s="12" t="str">
        <f aca="false">IFERROR(INDEX(Programs!$P$2:$P$16,MATCH(B7,Programs!$A$2:$A$16,0)),"No program")</f>
        <v>Not applied</v>
      </c>
      <c r="F7" s="12" t="str">
        <f aca="false">IFERROR(INDEX(Programs!$R$2:$R$16,MATCH(B7,Programs!$A$2:$A$16,0)),"")</f>
        <v>[NOT ISSUED: do not use]</v>
      </c>
      <c r="G7" s="12" t="str">
        <f aca="false">IF(AND(E7="Approved",F7&lt;&gt;"",F7&lt;&gt;"[NOT ISSUED: do not use]"),"Allowed: swap link, label (affiliate link), set affiliate: true","Keep the official link")</f>
        <v>Keep the official link</v>
      </c>
    </row>
    <row r="8" customFormat="false" ht="15" hidden="false" customHeight="false" outlineLevel="0" collapsed="false">
      <c r="A8" s="8" t="s">
        <v>179</v>
      </c>
      <c r="B8" s="9" t="s">
        <v>68</v>
      </c>
      <c r="C8" s="10" t="s">
        <v>182</v>
      </c>
      <c r="D8" s="10" t="s">
        <v>183</v>
      </c>
      <c r="E8" s="12" t="str">
        <f aca="false">IFERROR(INDEX(Programs!$P$2:$P$16,MATCH(B8,Programs!$A$2:$A$16,0)),"No program")</f>
        <v>Not applied</v>
      </c>
      <c r="F8" s="12" t="str">
        <f aca="false">IFERROR(INDEX(Programs!$R$2:$R$16,MATCH(B8,Programs!$A$2:$A$16,0)),"")</f>
        <v>[NOT ISSUED: do not use]</v>
      </c>
      <c r="G8" s="12" t="str">
        <f aca="false">IF(AND(E8="Approved",F8&lt;&gt;"",F8&lt;&gt;"[NOT ISSUED: do not use]"),"Allowed: swap link, label (affiliate link), set affiliate: true","Keep the official link")</f>
        <v>Keep the official link</v>
      </c>
    </row>
    <row r="9" customFormat="false" ht="15" hidden="false" customHeight="false" outlineLevel="0" collapsed="false">
      <c r="A9" s="8" t="s">
        <v>179</v>
      </c>
      <c r="B9" s="9" t="s">
        <v>76</v>
      </c>
      <c r="C9" s="10" t="s">
        <v>184</v>
      </c>
      <c r="D9" s="10" t="s">
        <v>185</v>
      </c>
      <c r="E9" s="12" t="str">
        <f aca="false">IFERROR(INDEX(Programs!$P$2:$P$16,MATCH(B9,Programs!$A$2:$A$16,0)),"No program")</f>
        <v>Not applied</v>
      </c>
      <c r="F9" s="12" t="str">
        <f aca="false">IFERROR(INDEX(Programs!$R$2:$R$16,MATCH(B9,Programs!$A$2:$A$16,0)),"")</f>
        <v>[NOT ISSUED: do not use]</v>
      </c>
      <c r="G9" s="12" t="str">
        <f aca="false">IF(AND(E9="Approved",F9&lt;&gt;"",F9&lt;&gt;"[NOT ISSUED: do not use]"),"Allowed: swap link, label (affiliate link), set affiliate: true","Keep the official link")</f>
        <v>Keep the official link</v>
      </c>
    </row>
    <row r="10" customFormat="false" ht="15" hidden="false" customHeight="false" outlineLevel="0" collapsed="false">
      <c r="A10" s="8" t="s">
        <v>186</v>
      </c>
      <c r="B10" s="9" t="s">
        <v>76</v>
      </c>
      <c r="C10" s="10" t="s">
        <v>184</v>
      </c>
      <c r="D10" s="10" t="s">
        <v>185</v>
      </c>
      <c r="E10" s="12" t="str">
        <f aca="false">IFERROR(INDEX(Programs!$P$2:$P$16,MATCH(B10,Programs!$A$2:$A$16,0)),"No program")</f>
        <v>Not applied</v>
      </c>
      <c r="F10" s="12" t="str">
        <f aca="false">IFERROR(INDEX(Programs!$R$2:$R$16,MATCH(B10,Programs!$A$2:$A$16,0)),"")</f>
        <v>[NOT ISSUED: do not use]</v>
      </c>
      <c r="G10" s="12" t="str">
        <f aca="false">IF(AND(E10="Approved",F10&lt;&gt;"",F10&lt;&gt;"[NOT ISSUED: do not use]"),"Allowed: swap link, label (affiliate link), set affiliate: true","Keep the official link")</f>
        <v>Keep the official link</v>
      </c>
    </row>
    <row r="11" customFormat="false" ht="15" hidden="false" customHeight="false" outlineLevel="0" collapsed="false">
      <c r="A11" s="8" t="s">
        <v>186</v>
      </c>
      <c r="B11" s="9" t="s">
        <v>85</v>
      </c>
      <c r="C11" s="10" t="s">
        <v>187</v>
      </c>
      <c r="D11" s="10" t="s">
        <v>188</v>
      </c>
      <c r="E11" s="12" t="str">
        <f aca="false">IFERROR(INDEX(Programs!$P$2:$P$16,MATCH(B11,Programs!$A$2:$A$16,0)),"No program")</f>
        <v>Not applied</v>
      </c>
      <c r="F11" s="12" t="str">
        <f aca="false">IFERROR(INDEX(Programs!$R$2:$R$16,MATCH(B11,Programs!$A$2:$A$16,0)),"")</f>
        <v>[NOT ISSUED: do not use]</v>
      </c>
      <c r="G11" s="12" t="str">
        <f aca="false">IF(AND(E11="Approved",F11&lt;&gt;"",F11&lt;&gt;"[NOT ISSUED: do not use]"),"Allowed: swap link, label (affiliate link), set affiliate: true","Keep the official link")</f>
        <v>Keep the official link</v>
      </c>
    </row>
    <row r="12" customFormat="false" ht="15" hidden="false" customHeight="false" outlineLevel="0" collapsed="false">
      <c r="A12" s="8" t="s">
        <v>189</v>
      </c>
      <c r="B12" s="9" t="s">
        <v>76</v>
      </c>
      <c r="C12" s="10" t="s">
        <v>184</v>
      </c>
      <c r="D12" s="10" t="s">
        <v>185</v>
      </c>
      <c r="E12" s="12" t="str">
        <f aca="false">IFERROR(INDEX(Programs!$P$2:$P$16,MATCH(B12,Programs!$A$2:$A$16,0)),"No program")</f>
        <v>Not applied</v>
      </c>
      <c r="F12" s="12" t="str">
        <f aca="false">IFERROR(INDEX(Programs!$R$2:$R$16,MATCH(B12,Programs!$A$2:$A$16,0)),"")</f>
        <v>[NOT ISSUED: do not use]</v>
      </c>
      <c r="G12" s="12" t="str">
        <f aca="false">IF(AND(E12="Approved",F12&lt;&gt;"",F12&lt;&gt;"[NOT ISSUED: do not use]"),"Allowed: swap link, label (affiliate link), set affiliate: true","Keep the official link")</f>
        <v>Keep the official link</v>
      </c>
    </row>
    <row r="13" customFormat="false" ht="15" hidden="false" customHeight="false" outlineLevel="0" collapsed="false">
      <c r="A13" s="8" t="s">
        <v>190</v>
      </c>
      <c r="B13" s="9" t="s">
        <v>94</v>
      </c>
      <c r="C13" s="10" t="s">
        <v>180</v>
      </c>
      <c r="D13" s="10" t="s">
        <v>181</v>
      </c>
      <c r="E13" s="12" t="str">
        <f aca="false">IFERROR(INDEX(Programs!$P$2:$P$16,MATCH(B13,Programs!$A$2:$A$16,0)),"No program")</f>
        <v>Not applied</v>
      </c>
      <c r="F13" s="12" t="str">
        <f aca="false">IFERROR(INDEX(Programs!$R$2:$R$16,MATCH(B13,Programs!$A$2:$A$16,0)),"")</f>
        <v>[NOT ISSUED: do not use]</v>
      </c>
      <c r="G13" s="12" t="str">
        <f aca="false">IF(AND(E13="Approved",F13&lt;&gt;"",F13&lt;&gt;"[NOT ISSUED: do not use]"),"Allowed: swap link, label (affiliate link), set affiliate: true","Keep the official link")</f>
        <v>Keep the official link</v>
      </c>
    </row>
    <row r="14" customFormat="false" ht="15" hidden="false" customHeight="false" outlineLevel="0" collapsed="false">
      <c r="A14" s="8" t="s">
        <v>191</v>
      </c>
      <c r="B14" s="9" t="s">
        <v>68</v>
      </c>
      <c r="C14" s="10" t="s">
        <v>182</v>
      </c>
      <c r="D14" s="10" t="s">
        <v>183</v>
      </c>
      <c r="E14" s="12" t="str">
        <f aca="false">IFERROR(INDEX(Programs!$P$2:$P$16,MATCH(B14,Programs!$A$2:$A$16,0)),"No program")</f>
        <v>Not applied</v>
      </c>
      <c r="F14" s="12" t="str">
        <f aca="false">IFERROR(INDEX(Programs!$R$2:$R$16,MATCH(B14,Programs!$A$2:$A$16,0)),"")</f>
        <v>[NOT ISSUED: do not use]</v>
      </c>
      <c r="G14" s="12" t="str">
        <f aca="false">IF(AND(E14="Approved",F14&lt;&gt;"",F14&lt;&gt;"[NOT ISSUED: do not use]"),"Allowed: swap link, label (affiliate link), set affiliate: true","Keep the official link")</f>
        <v>Keep the official link</v>
      </c>
    </row>
    <row r="15" customFormat="false" ht="15" hidden="false" customHeight="false" outlineLevel="0" collapsed="false">
      <c r="A15" s="8" t="s">
        <v>192</v>
      </c>
      <c r="B15" s="9" t="s">
        <v>94</v>
      </c>
      <c r="C15" s="10" t="s">
        <v>180</v>
      </c>
      <c r="D15" s="10" t="s">
        <v>181</v>
      </c>
      <c r="E15" s="12" t="str">
        <f aca="false">IFERROR(INDEX(Programs!$P$2:$P$16,MATCH(B15,Programs!$A$2:$A$16,0)),"No program")</f>
        <v>Not applied</v>
      </c>
      <c r="F15" s="12" t="str">
        <f aca="false">IFERROR(INDEX(Programs!$R$2:$R$16,MATCH(B15,Programs!$A$2:$A$16,0)),"")</f>
        <v>[NOT ISSUED: do not use]</v>
      </c>
      <c r="G15" s="12" t="str">
        <f aca="false">IF(AND(E15="Approved",F15&lt;&gt;"",F15&lt;&gt;"[NOT ISSUED: do not use]"),"Allowed: swap link, label (affiliate link), set affiliate: true","Keep the official link")</f>
        <v>Keep the official link</v>
      </c>
    </row>
  </sheetData>
  <autoFilter ref="A1:G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64"/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7" t="s">
        <v>193</v>
      </c>
      <c r="B1" s="7" t="s">
        <v>194</v>
      </c>
      <c r="C1" s="7" t="s">
        <v>195</v>
      </c>
    </row>
    <row r="2" customFormat="false" ht="15" hidden="false" customHeight="false" outlineLevel="0" collapsed="false">
      <c r="A2" s="8" t="s">
        <v>196</v>
      </c>
      <c r="B2" s="9" t="s">
        <v>197</v>
      </c>
      <c r="C2" s="10" t="s">
        <v>198</v>
      </c>
    </row>
    <row r="3" customFormat="false" ht="15" hidden="false" customHeight="false" outlineLevel="0" collapsed="false">
      <c r="A3" s="8" t="s">
        <v>199</v>
      </c>
      <c r="B3" s="9" t="s">
        <v>200</v>
      </c>
      <c r="C3" s="10" t="s">
        <v>201</v>
      </c>
    </row>
    <row r="4" customFormat="false" ht="15" hidden="false" customHeight="false" outlineLevel="0" collapsed="false">
      <c r="A4" s="8" t="s">
        <v>202</v>
      </c>
      <c r="B4" s="9" t="s">
        <v>203</v>
      </c>
      <c r="C4" s="10" t="s">
        <v>204</v>
      </c>
    </row>
    <row r="5" customFormat="false" ht="22.35" hidden="false" customHeight="false" outlineLevel="0" collapsed="false">
      <c r="A5" s="8" t="s">
        <v>205</v>
      </c>
      <c r="B5" s="9" t="s">
        <v>206</v>
      </c>
      <c r="C5" s="10" t="s">
        <v>207</v>
      </c>
    </row>
    <row r="6" customFormat="false" ht="15" hidden="false" customHeight="false" outlineLevel="0" collapsed="false">
      <c r="A6" s="8" t="s">
        <v>208</v>
      </c>
      <c r="B6" s="9" t="s">
        <v>209</v>
      </c>
      <c r="C6" s="10" t="s">
        <v>210</v>
      </c>
    </row>
    <row r="7" customFormat="false" ht="15" hidden="false" customHeight="false" outlineLevel="0" collapsed="false">
      <c r="A7" s="8" t="s">
        <v>211</v>
      </c>
      <c r="B7" s="9" t="s">
        <v>212</v>
      </c>
      <c r="C7" s="10" t="s">
        <v>213</v>
      </c>
    </row>
    <row r="8" customFormat="false" ht="15" hidden="false" customHeight="false" outlineLevel="0" collapsed="false">
      <c r="A8" s="8" t="s">
        <v>214</v>
      </c>
      <c r="B8" s="9" t="s">
        <v>215</v>
      </c>
      <c r="C8" s="10" t="s">
        <v>216</v>
      </c>
    </row>
    <row r="9" customFormat="false" ht="15" hidden="false" customHeight="false" outlineLevel="0" collapsed="false">
      <c r="A9" s="8" t="s">
        <v>217</v>
      </c>
      <c r="B9" s="9" t="s">
        <v>218</v>
      </c>
      <c r="C9" s="10" t="s">
        <v>219</v>
      </c>
    </row>
    <row r="10" customFormat="false" ht="15" hidden="false" customHeight="false" outlineLevel="0" collapsed="false">
      <c r="A10" s="8" t="s">
        <v>220</v>
      </c>
      <c r="B10" s="9" t="s">
        <v>221</v>
      </c>
      <c r="C10" s="10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64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7" t="s">
        <v>16</v>
      </c>
      <c r="B1" s="7" t="s">
        <v>223</v>
      </c>
      <c r="C1" s="7" t="s">
        <v>224</v>
      </c>
    </row>
    <row r="2" customFormat="false" ht="15" hidden="false" customHeight="false" outlineLevel="0" collapsed="false">
      <c r="A2" s="8" t="s">
        <v>225</v>
      </c>
      <c r="B2" s="9" t="s">
        <v>226</v>
      </c>
      <c r="C2" s="10" t="s">
        <v>227</v>
      </c>
    </row>
    <row r="3" customFormat="false" ht="15" hidden="false" customHeight="false" outlineLevel="0" collapsed="false">
      <c r="A3" s="8" t="s">
        <v>228</v>
      </c>
      <c r="B3" s="9" t="s">
        <v>229</v>
      </c>
      <c r="C3" s="10" t="s">
        <v>230</v>
      </c>
    </row>
    <row r="4" customFormat="false" ht="15" hidden="false" customHeight="false" outlineLevel="0" collapsed="false">
      <c r="A4" s="8" t="s">
        <v>231</v>
      </c>
      <c r="B4" s="9" t="s">
        <v>232</v>
      </c>
      <c r="C4" s="10" t="s">
        <v>233</v>
      </c>
    </row>
    <row r="5" customFormat="false" ht="15" hidden="false" customHeight="false" outlineLevel="0" collapsed="false">
      <c r="A5" s="8" t="s">
        <v>234</v>
      </c>
      <c r="B5" s="9" t="s">
        <v>232</v>
      </c>
      <c r="C5" s="10" t="s">
        <v>235</v>
      </c>
    </row>
    <row r="6" customFormat="false" ht="15" hidden="false" customHeight="false" outlineLevel="0" collapsed="false">
      <c r="A6" s="8" t="s">
        <v>236</v>
      </c>
      <c r="B6" s="9" t="s">
        <v>237</v>
      </c>
      <c r="C6" s="10" t="s">
        <v>238</v>
      </c>
    </row>
    <row r="7" customFormat="false" ht="15" hidden="false" customHeight="false" outlineLevel="0" collapsed="false">
      <c r="A7" s="8" t="s">
        <v>239</v>
      </c>
      <c r="B7" s="9" t="s">
        <v>240</v>
      </c>
      <c r="C7" s="10" t="s">
        <v>241</v>
      </c>
    </row>
    <row r="8" customFormat="false" ht="15" hidden="false" customHeight="false" outlineLevel="0" collapsed="false">
      <c r="A8" s="8" t="s">
        <v>242</v>
      </c>
      <c r="B8" s="9" t="s">
        <v>243</v>
      </c>
      <c r="C8" s="10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2026-09-24T22:15:46Z</dcterms:created>
  <dc:creator>openpyxl</dc:creator>
  <dc:description/>
  <dc:language>en-US</dc:language>
  <cp:lastModifiedBy/>
  <dcterms:modified xsi:type="dcterms:W3CDTF">2026-09-24T22:15:46Z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