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oic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<sst xmlns="http://schemas.openxmlformats.org/spreadsheetml/2006/main" count="16" uniqueCount="16">
  <si>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Today</t>
  </si>
  <si>
    <t xml:space="preserve">Yellow = type here · grey = calculated. Stages: A = 3 days before due · B = due date · C = +7 · D = +14 · E = +30 days.</t>
  </si>
  <si>
    <t xml:space="preserve">Invoice #</t>
  </si>
  <si>
    <t xml:space="preserve">Client</t>
  </si>
  <si>
    <t xml:space="preserve">Amount</t>
  </si>
  <si>
    <t xml:space="preserve">Issue date</t>
  </si>
  <si>
    <t xml:space="preserve">Terms (days)</t>
  </si>
  <si>
    <t xml:space="preserve">Due date</t>
  </si>
  <si>
    <t xml:space="preserve">Paid date</t>
  </si>
  <si>
    <t xml:space="preserve">Status</t>
  </si>
  <si>
    <t xml:space="preserve">Days overdue</t>
  </si>
  <si>
    <t xml:space="preserve">Reminder stage due</t>
  </si>
  <si>
    <t xml:space="preserve">Last reminder sent</t>
  </si>
  <si>
    <t xml:space="preserve">Action</t>
  </si>
  <si>
    <t xml:space="preserve">INV-001</t>
  </si>
  <si>
    <t xml:space="preserve">Example client (delete me)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</si>
</sst>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#,##0.00"/>
    <numFmt numFmtId="167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i val="true"/>
      <sz val="9"/>
      <color rgb="FF56606B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A4A45"/>
        <bgColor rgb="FF333333"/>
      </patternFill>
    </fill>
    <fill>
      <patternFill patternType="solid">
        <fgColor rgb="FFFFF8E1"/>
        <bgColor rgb="FFF2F2F2"/>
      </patternFill>
    </fill>
    <fill>
      <patternFill patternType="solid">
        <fgColor rgb="FFF2F2F2"/>
        <bgColor rgb="FFFFF8E1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8D7CD"/>
        </patternFill>
      </fill>
    </dxf>
    <dxf>
      <fill>
        <patternFill>
          <bgColor rgb="FFFCE7A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8E1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CE7A8"/>
      <rgbColor rgb="FF99CCFF"/>
      <rgbColor rgb="FFFF99CC"/>
      <rgbColor rgb="FFCC99FF"/>
      <rgbColor rgb="FFF8D7CD"/>
      <rgbColor rgb="FF3366FF"/>
      <rgbColor rgb="FF33CCCC"/>
      <rgbColor rgb="FF99CC00"/>
      <rgbColor rgb="FFFFCC00"/>
      <rgbColor rgb="FFFF9900"/>
      <rgbColor rgb="FFFF6600"/>
      <rgbColor rgb="FF56606B"/>
      <rgbColor rgb="FF969696"/>
      <rgbColor rgb="FF0A4A45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2"/>
    <col collapsed="false" customWidth="true" hidden="false" outlineLevel="0" max="3" min="3" style="0" width="11"/>
    <col collapsed="false" customWidth="true" hidden="false" outlineLevel="0" max="4" min="4" style="0" width="12"/>
    <col collapsed="false" customWidth="true" hidden="false" outlineLevel="0" max="5" min="5" style="0" width="11"/>
    <col collapsed="false" customWidth="true" hidden="false" outlineLevel="0" max="7" min="6" style="0" width="12"/>
    <col collapsed="false" customWidth="true" hidden="false" outlineLevel="0" max="8" min="8" style="0" width="11"/>
    <col collapsed="false" customWidth="true" hidden="false" outlineLevel="0" max="10" min="9" style="0" width="12"/>
    <col collapsed="false" customWidth="true" hidden="false" outlineLevel="0" max="12" min="11" style="0" width="14"/>
  </cols>
  <sheetData>
    <row r="1" customFormat="false" ht="15" hidden="false" customHeight="false" outlineLevel="0" collapsed="false">
      <c r="A1" s="1" t="s">
        <v>0</v>
      </c>
      <c r="B1" s="2" t="n">
        <f aca="true">TODAY()</f>
        <v>46289</v>
      </c>
      <c r="D1" s="3" t="s">
        <v>1</v>
      </c>
    </row>
    <row r="3" customFormat="false" ht="26.85" hidden="false" customHeight="fals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</row>
    <row r="4" customFormat="false" ht="15" hidden="false" customHeight="false" outlineLevel="0" collapsed="false">
      <c r="A4" s="5" t="s">
        <v>14</v>
      </c>
      <c r="B4" s="5" t="s">
        <v>15</v>
      </c>
      <c r="C4" s="6" t="n">
        <v>500</v>
      </c>
      <c r="D4" s="7" t="n">
        <f aca="false">B1-10</f>
        <v>46279</v>
      </c>
      <c r="E4" s="5" t="n">
        <v>14</v>
      </c>
      <c r="F4" s="8" t="n">
        <f aca="false">IF(D4="","",D4+E4)</f>
        <v>46293</v>
      </c>
      <c r="G4" s="7"/>
      <c r="H4" s="9" t="str">
        <f aca="false">IF(D4="","",IF(G4&lt;&gt;"","Paid",IF($B$1&lt;F4,"Not due",IF($B$1=F4,"Due today","Overdue"))))</f>
        <v>Not due</v>
      </c>
      <c r="I4" s="10" t="n">
        <f aca="false">IF(OR(D4="",G4&lt;&gt;""),"",MAX(0,$B$1-F4))</f>
        <v>0</v>
      </c>
      <c r="J4" s="10" t="str">
        <f aca="false">IF(OR(D4="",G4&lt;&gt;""),"",IF($B$1&gt;=F4+30,"E",IF($B$1&gt;=F4+14,"D",IF($B$1&gt;=F4+7,"C",IF($B$1&gt;=F4,"B",IF($B$1&gt;=F4-3,"A","—"))))))</f>
        <v>—</v>
      </c>
      <c r="K4" s="5"/>
      <c r="L4" s="9" t="str">
        <f aca="false">IF(OR(J4="",J4="—"),"",IF(K4="","Send "&amp;J4,IF(CODE(J4)&gt;CODE(K4),"Send "&amp;J4,"Up to date")))</f>
        <v/>
      </c>
    </row>
    <row r="5" customFormat="false" ht="15" hidden="false" customHeight="false" outlineLevel="0" collapsed="false">
      <c r="A5" s="5"/>
      <c r="B5" s="5"/>
      <c r="C5" s="6"/>
      <c r="D5" s="7"/>
      <c r="E5" s="5"/>
      <c r="F5" s="8" t="str">
        <f aca="false">IF(D5="","",D5+E5)</f>
        <v/>
      </c>
      <c r="G5" s="7"/>
      <c r="H5" s="9" t="str">
        <f aca="false">IF(D5="","",IF(G5&lt;&gt;"","Paid",IF($B$1&lt;F5,"Not due",IF($B$1=F5,"Due today","Overdue"))))</f>
        <v/>
      </c>
      <c r="I5" s="10" t="str">
        <f aca="false">IF(OR(D5="",G5&lt;&gt;""),"",MAX(0,$B$1-F5))</f>
        <v/>
      </c>
      <c r="J5" s="10" t="str">
        <f aca="false">IF(OR(D5="",G5&lt;&gt;""),"",IF($B$1&gt;=F5+30,"E",IF($B$1&gt;=F5+14,"D",IF($B$1&gt;=F5+7,"C",IF($B$1&gt;=F5,"B",IF($B$1&gt;=F5-3,"A","—"))))))</f>
        <v/>
      </c>
      <c r="K5" s="5"/>
      <c r="L5" s="9" t="str">
        <f aca="false">IF(OR(J5="",J5="—"),"",IF(K5="","Send "&amp;J5,IF(CODE(J5)&gt;CODE(K5),"Send "&amp;J5,"Up to date")))</f>
        <v/>
      </c>
    </row>
    <row r="6" customFormat="false" ht="15" hidden="false" customHeight="false" outlineLevel="0" collapsed="false">
      <c r="A6" s="5"/>
      <c r="B6" s="5"/>
      <c r="C6" s="6"/>
      <c r="D6" s="7"/>
      <c r="E6" s="5"/>
      <c r="F6" s="8" t="str">
        <f aca="false">IF(D6="","",D6+E6)</f>
        <v/>
      </c>
      <c r="G6" s="7"/>
      <c r="H6" s="9" t="str">
        <f aca="false">IF(D6="","",IF(G6&lt;&gt;"","Paid",IF($B$1&lt;F6,"Not due",IF($B$1=F6,"Due today","Overdue"))))</f>
        <v/>
      </c>
      <c r="I6" s="10" t="str">
        <f aca="false">IF(OR(D6="",G6&lt;&gt;""),"",MAX(0,$B$1-F6))</f>
        <v/>
      </c>
      <c r="J6" s="10" t="str">
        <f aca="false">IF(OR(D6="",G6&lt;&gt;""),"",IF($B$1&gt;=F6+30,"E",IF($B$1&gt;=F6+14,"D",IF($B$1&gt;=F6+7,"C",IF($B$1&gt;=F6,"B",IF($B$1&gt;=F6-3,"A","—"))))))</f>
        <v/>
      </c>
      <c r="K6" s="5"/>
      <c r="L6" s="9" t="str">
        <f aca="false">IF(OR(J6="",J6="—"),"",IF(K6="","Send "&amp;J6,IF(CODE(J6)&gt;CODE(K6),"Send "&amp;J6,"Up to date")))</f>
        <v/>
      </c>
    </row>
    <row r="7" customFormat="false" ht="15" hidden="false" customHeight="false" outlineLevel="0" collapsed="false">
      <c r="A7" s="5"/>
      <c r="B7" s="5"/>
      <c r="C7" s="6"/>
      <c r="D7" s="7"/>
      <c r="E7" s="5"/>
      <c r="F7" s="8" t="str">
        <f aca="false">IF(D7="","",D7+E7)</f>
        <v/>
      </c>
      <c r="G7" s="7"/>
      <c r="H7" s="9" t="str">
        <f aca="false">IF(D7="","",IF(G7&lt;&gt;"","Paid",IF($B$1&lt;F7,"Not due",IF($B$1=F7,"Due today","Overdue"))))</f>
        <v/>
      </c>
      <c r="I7" s="10" t="str">
        <f aca="false">IF(OR(D7="",G7&lt;&gt;""),"",MAX(0,$B$1-F7))</f>
        <v/>
      </c>
      <c r="J7" s="10" t="str">
        <f aca="false">IF(OR(D7="",G7&lt;&gt;""),"",IF($B$1&gt;=F7+30,"E",IF($B$1&gt;=F7+14,"D",IF($B$1&gt;=F7+7,"C",IF($B$1&gt;=F7,"B",IF($B$1&gt;=F7-3,"A","—"))))))</f>
        <v/>
      </c>
      <c r="K7" s="5"/>
      <c r="L7" s="9" t="str">
        <f aca="false">IF(OR(J7="",J7="—"),"",IF(K7="","Send "&amp;J7,IF(CODE(J7)&gt;CODE(K7),"Send "&amp;J7,"Up to date")))</f>
        <v/>
      </c>
    </row>
    <row r="8" customFormat="false" ht="15" hidden="false" customHeight="false" outlineLevel="0" collapsed="false">
      <c r="A8" s="5"/>
      <c r="B8" s="5"/>
      <c r="C8" s="6"/>
      <c r="D8" s="7"/>
      <c r="E8" s="5"/>
      <c r="F8" s="8" t="str">
        <f aca="false">IF(D8="","",D8+E8)</f>
        <v/>
      </c>
      <c r="G8" s="7"/>
      <c r="H8" s="9" t="str">
        <f aca="false">IF(D8="","",IF(G8&lt;&gt;"","Paid",IF($B$1&lt;F8,"Not due",IF($B$1=F8,"Due today","Overdue"))))</f>
        <v/>
      </c>
      <c r="I8" s="10" t="str">
        <f aca="false">IF(OR(D8="",G8&lt;&gt;""),"",MAX(0,$B$1-F8))</f>
        <v/>
      </c>
      <c r="J8" s="10" t="str">
        <f aca="false">IF(OR(D8="",G8&lt;&gt;""),"",IF($B$1&gt;=F8+30,"E",IF($B$1&gt;=F8+14,"D",IF($B$1&gt;=F8+7,"C",IF($B$1&gt;=F8,"B",IF($B$1&gt;=F8-3,"A","—"))))))</f>
        <v/>
      </c>
      <c r="K8" s="5"/>
      <c r="L8" s="9" t="str">
        <f aca="false">IF(OR(J8="",J8="—"),"",IF(K8="","Send "&amp;J8,IF(CODE(J8)&gt;CODE(K8),"Send "&amp;J8,"Up to date")))</f>
        <v/>
      </c>
    </row>
    <row r="9" customFormat="false" ht="15" hidden="false" customHeight="false" outlineLevel="0" collapsed="false">
      <c r="A9" s="5"/>
      <c r="B9" s="5"/>
      <c r="C9" s="6"/>
      <c r="D9" s="7"/>
      <c r="E9" s="5"/>
      <c r="F9" s="8" t="str">
        <f aca="false">IF(D9="","",D9+E9)</f>
        <v/>
      </c>
      <c r="G9" s="7"/>
      <c r="H9" s="9" t="str">
        <f aca="false">IF(D9="","",IF(G9&lt;&gt;"","Paid",IF($B$1&lt;F9,"Not due",IF($B$1=F9,"Due today","Overdue"))))</f>
        <v/>
      </c>
      <c r="I9" s="10" t="str">
        <f aca="false">IF(OR(D9="",G9&lt;&gt;""),"",MAX(0,$B$1-F9))</f>
        <v/>
      </c>
      <c r="J9" s="10" t="str">
        <f aca="false">IF(OR(D9="",G9&lt;&gt;""),"",IF($B$1&gt;=F9+30,"E",IF($B$1&gt;=F9+14,"D",IF($B$1&gt;=F9+7,"C",IF($B$1&gt;=F9,"B",IF($B$1&gt;=F9-3,"A","—"))))))</f>
        <v/>
      </c>
      <c r="K9" s="5"/>
      <c r="L9" s="9" t="str">
        <f aca="false">IF(OR(J9="",J9="—"),"",IF(K9="","Send "&amp;J9,IF(CODE(J9)&gt;CODE(K9),"Send "&amp;J9,"Up to date")))</f>
        <v/>
      </c>
    </row>
    <row r="10" customFormat="false" ht="15" hidden="false" customHeight="false" outlineLevel="0" collapsed="false">
      <c r="A10" s="5"/>
      <c r="B10" s="5"/>
      <c r="C10" s="6"/>
      <c r="D10" s="7"/>
      <c r="E10" s="5"/>
      <c r="F10" s="8" t="str">
        <f aca="false">IF(D10="","",D10+E10)</f>
        <v/>
      </c>
      <c r="G10" s="7"/>
      <c r="H10" s="9" t="str">
        <f aca="false">IF(D10="","",IF(G10&lt;&gt;"","Paid",IF($B$1&lt;F10,"Not due",IF($B$1=F10,"Due today","Overdue"))))</f>
        <v/>
      </c>
      <c r="I10" s="10" t="str">
        <f aca="false">IF(OR(D10="",G10&lt;&gt;""),"",MAX(0,$B$1-F10))</f>
        <v/>
      </c>
      <c r="J10" s="10" t="str">
        <f aca="false">IF(OR(D10="",G10&lt;&gt;""),"",IF($B$1&gt;=F10+30,"E",IF($B$1&gt;=F10+14,"D",IF($B$1&gt;=F10+7,"C",IF($B$1&gt;=F10,"B",IF($B$1&gt;=F10-3,"A","—"))))))</f>
        <v/>
      </c>
      <c r="K10" s="5"/>
      <c r="L10" s="9" t="str">
        <f aca="false">IF(OR(J10="",J10="—"),"",IF(K10="","Send "&amp;J10,IF(CODE(J10)&gt;CODE(K10),"Send "&amp;J10,"Up to date")))</f>
        <v/>
      </c>
    </row>
    <row r="11" customFormat="false" ht="15" hidden="false" customHeight="false" outlineLevel="0" collapsed="false">
      <c r="A11" s="5"/>
      <c r="B11" s="5"/>
      <c r="C11" s="6"/>
      <c r="D11" s="7"/>
      <c r="E11" s="5"/>
      <c r="F11" s="8" t="str">
        <f aca="false">IF(D11="","",D11+E11)</f>
        <v/>
      </c>
      <c r="G11" s="7"/>
      <c r="H11" s="9" t="str">
        <f aca="false">IF(D11="","",IF(G11&lt;&gt;"","Paid",IF($B$1&lt;F11,"Not due",IF($B$1=F11,"Due today","Overdue"))))</f>
        <v/>
      </c>
      <c r="I11" s="10" t="str">
        <f aca="false">IF(OR(D11="",G11&lt;&gt;""),"",MAX(0,$B$1-F11))</f>
        <v/>
      </c>
      <c r="J11" s="10" t="str">
        <f aca="false">IF(OR(D11="",G11&lt;&gt;""),"",IF($B$1&gt;=F11+30,"E",IF($B$1&gt;=F11+14,"D",IF($B$1&gt;=F11+7,"C",IF($B$1&gt;=F11,"B",IF($B$1&gt;=F11-3,"A","—"))))))</f>
        <v/>
      </c>
      <c r="K11" s="5"/>
      <c r="L11" s="9" t="str">
        <f aca="false">IF(OR(J11="",J11="—"),"",IF(K11="","Send "&amp;J11,IF(CODE(J11)&gt;CODE(K11),"Send "&amp;J11,"Up to date")))</f>
        <v/>
      </c>
    </row>
    <row r="12" customFormat="false" ht="15" hidden="false" customHeight="false" outlineLevel="0" collapsed="false">
      <c r="A12" s="5"/>
      <c r="B12" s="5"/>
      <c r="C12" s="6"/>
      <c r="D12" s="7"/>
      <c r="E12" s="5"/>
      <c r="F12" s="8" t="str">
        <f aca="false">IF(D12="","",D12+E12)</f>
        <v/>
      </c>
      <c r="G12" s="7"/>
      <c r="H12" s="9" t="str">
        <f aca="false">IF(D12="","",IF(G12&lt;&gt;"","Paid",IF($B$1&lt;F12,"Not due",IF($B$1=F12,"Due today","Overdue"))))</f>
        <v/>
      </c>
      <c r="I12" s="10" t="str">
        <f aca="false">IF(OR(D12="",G12&lt;&gt;""),"",MAX(0,$B$1-F12))</f>
        <v/>
      </c>
      <c r="J12" s="10" t="str">
        <f aca="false">IF(OR(D12="",G12&lt;&gt;""),"",IF($B$1&gt;=F12+30,"E",IF($B$1&gt;=F12+14,"D",IF($B$1&gt;=F12+7,"C",IF($B$1&gt;=F12,"B",IF($B$1&gt;=F12-3,"A","—"))))))</f>
        <v/>
      </c>
      <c r="K12" s="5"/>
      <c r="L12" s="9" t="str">
        <f aca="false">IF(OR(J12="",J12="—"),"",IF(K12="","Send "&amp;J12,IF(CODE(J12)&gt;CODE(K12),"Send "&amp;J12,"Up to date")))</f>
        <v/>
      </c>
    </row>
    <row r="13" customFormat="false" ht="15" hidden="false" customHeight="false" outlineLevel="0" collapsed="false">
      <c r="A13" s="5"/>
      <c r="B13" s="5"/>
      <c r="C13" s="6"/>
      <c r="D13" s="7"/>
      <c r="E13" s="5"/>
      <c r="F13" s="8" t="str">
        <f aca="false">IF(D13="","",D13+E13)</f>
        <v/>
      </c>
      <c r="G13" s="7"/>
      <c r="H13" s="9" t="str">
        <f aca="false">IF(D13="","",IF(G13&lt;&gt;"","Paid",IF($B$1&lt;F13,"Not due",IF($B$1=F13,"Due today","Overdue"))))</f>
        <v/>
      </c>
      <c r="I13" s="10" t="str">
        <f aca="false">IF(OR(D13="",G13&lt;&gt;""),"",MAX(0,$B$1-F13))</f>
        <v/>
      </c>
      <c r="J13" s="10" t="str">
        <f aca="false">IF(OR(D13="",G13&lt;&gt;""),"",IF($B$1&gt;=F13+30,"E",IF($B$1&gt;=F13+14,"D",IF($B$1&gt;=F13+7,"C",IF($B$1&gt;=F13,"B",IF($B$1&gt;=F13-3,"A","—"))))))</f>
        <v/>
      </c>
      <c r="K13" s="5"/>
      <c r="L13" s="9" t="str">
        <f aca="false">IF(OR(J13="",J13="—"),"",IF(K13="","Send "&amp;J13,IF(CODE(J13)&gt;CODE(K13),"Send "&amp;J13,"Up to date")))</f>
        <v/>
      </c>
    </row>
    <row r="14" customFormat="false" ht="15" hidden="false" customHeight="false" outlineLevel="0" collapsed="false">
      <c r="A14" s="5"/>
      <c r="B14" s="5"/>
      <c r="C14" s="6"/>
      <c r="D14" s="7"/>
      <c r="E14" s="5"/>
      <c r="F14" s="8" t="str">
        <f aca="false">IF(D14="","",D14+E14)</f>
        <v/>
      </c>
      <c r="G14" s="7"/>
      <c r="H14" s="9" t="str">
        <f aca="false">IF(D14="","",IF(G14&lt;&gt;"","Paid",IF($B$1&lt;F14,"Not due",IF($B$1=F14,"Due today","Overdue"))))</f>
        <v/>
      </c>
      <c r="I14" s="10" t="str">
        <f aca="false">IF(OR(D14="",G14&lt;&gt;""),"",MAX(0,$B$1-F14))</f>
        <v/>
      </c>
      <c r="J14" s="10" t="str">
        <f aca="false">IF(OR(D14="",G14&lt;&gt;""),"",IF($B$1&gt;=F14+30,"E",IF($B$1&gt;=F14+14,"D",IF($B$1&gt;=F14+7,"C",IF($B$1&gt;=F14,"B",IF($B$1&gt;=F14-3,"A","—"))))))</f>
        <v/>
      </c>
      <c r="K14" s="5"/>
      <c r="L14" s="9" t="str">
        <f aca="false">IF(OR(J14="",J14="—"),"",IF(K14="","Send "&amp;J14,IF(CODE(J14)&gt;CODE(K14),"Send "&amp;J14,"Up to date")))</f>
        <v/>
      </c>
    </row>
    <row r="15" customFormat="false" ht="15" hidden="false" customHeight="false" outlineLevel="0" collapsed="false">
      <c r="A15" s="5"/>
      <c r="B15" s="5"/>
      <c r="C15" s="6"/>
      <c r="D15" s="7"/>
      <c r="E15" s="5"/>
      <c r="F15" s="8" t="str">
        <f aca="false">IF(D15="","",D15+E15)</f>
        <v/>
      </c>
      <c r="G15" s="7"/>
      <c r="H15" s="9" t="str">
        <f aca="false">IF(D15="","",IF(G15&lt;&gt;"","Paid",IF($B$1&lt;F15,"Not due",IF($B$1=F15,"Due today","Overdue"))))</f>
        <v/>
      </c>
      <c r="I15" s="10" t="str">
        <f aca="false">IF(OR(D15="",G15&lt;&gt;""),"",MAX(0,$B$1-F15))</f>
        <v/>
      </c>
      <c r="J15" s="10" t="str">
        <f aca="false">IF(OR(D15="",G15&lt;&gt;""),"",IF($B$1&gt;=F15+30,"E",IF($B$1&gt;=F15+14,"D",IF($B$1&gt;=F15+7,"C",IF($B$1&gt;=F15,"B",IF($B$1&gt;=F15-3,"A","—"))))))</f>
        <v/>
      </c>
      <c r="K15" s="5"/>
      <c r="L15" s="9" t="str">
        <f aca="false">IF(OR(J15="",J15="—"),"",IF(K15="","Send "&amp;J15,IF(CODE(J15)&gt;CODE(K15),"Send "&amp;J15,"Up to date")))</f>
        <v/>
      </c>
    </row>
    <row r="16" customFormat="false" ht="15" hidden="false" customHeight="false" outlineLevel="0" collapsed="false">
      <c r="A16" s="5"/>
      <c r="B16" s="5"/>
      <c r="C16" s="6"/>
      <c r="D16" s="7"/>
      <c r="E16" s="5"/>
      <c r="F16" s="8" t="str">
        <f aca="false">IF(D16="","",D16+E16)</f>
        <v/>
      </c>
      <c r="G16" s="7"/>
      <c r="H16" s="9" t="str">
        <f aca="false">IF(D16="","",IF(G16&lt;&gt;"","Paid",IF($B$1&lt;F16,"Not due",IF($B$1=F16,"Due today","Overdue"))))</f>
        <v/>
      </c>
      <c r="I16" s="10" t="str">
        <f aca="false">IF(OR(D16="",G16&lt;&gt;""),"",MAX(0,$B$1-F16))</f>
        <v/>
      </c>
      <c r="J16" s="10" t="str">
        <f aca="false">IF(OR(D16="",G16&lt;&gt;""),"",IF($B$1&gt;=F16+30,"E",IF($B$1&gt;=F16+14,"D",IF($B$1&gt;=F16+7,"C",IF($B$1&gt;=F16,"B",IF($B$1&gt;=F16-3,"A","—"))))))</f>
        <v/>
      </c>
      <c r="K16" s="5"/>
      <c r="L16" s="9" t="str">
        <f aca="false">IF(OR(J16="",J16="—"),"",IF(K16="","Send "&amp;J16,IF(CODE(J16)&gt;CODE(K16),"Send "&amp;J16,"Up to date")))</f>
        <v/>
      </c>
    </row>
    <row r="17" customFormat="false" ht="15" hidden="false" customHeight="false" outlineLevel="0" collapsed="false">
      <c r="A17" s="5"/>
      <c r="B17" s="5"/>
      <c r="C17" s="6"/>
      <c r="D17" s="7"/>
      <c r="E17" s="5"/>
      <c r="F17" s="8" t="str">
        <f aca="false">IF(D17="","",D17+E17)</f>
        <v/>
      </c>
      <c r="G17" s="7"/>
      <c r="H17" s="9" t="str">
        <f aca="false">IF(D17="","",IF(G17&lt;&gt;"","Paid",IF($B$1&lt;F17,"Not due",IF($B$1=F17,"Due today","Overdue"))))</f>
        <v/>
      </c>
      <c r="I17" s="10" t="str">
        <f aca="false">IF(OR(D17="",G17&lt;&gt;""),"",MAX(0,$B$1-F17))</f>
        <v/>
      </c>
      <c r="J17" s="10" t="str">
        <f aca="false">IF(OR(D17="",G17&lt;&gt;""),"",IF($B$1&gt;=F17+30,"E",IF($B$1&gt;=F17+14,"D",IF($B$1&gt;=F17+7,"C",IF($B$1&gt;=F17,"B",IF($B$1&gt;=F17-3,"A","—"))))))</f>
        <v/>
      </c>
      <c r="K17" s="5"/>
      <c r="L17" s="9" t="str">
        <f aca="false">IF(OR(J17="",J17="—"),"",IF(K17="","Send "&amp;J17,IF(CODE(J17)&gt;CODE(K17),"Send "&amp;J17,"Up to date")))</f>
        <v/>
      </c>
    </row>
    <row r="18" customFormat="false" ht="15" hidden="false" customHeight="false" outlineLevel="0" collapsed="false">
      <c r="A18" s="5"/>
      <c r="B18" s="5"/>
      <c r="C18" s="6"/>
      <c r="D18" s="7"/>
      <c r="E18" s="5"/>
      <c r="F18" s="8" t="str">
        <f aca="false">IF(D18="","",D18+E18)</f>
        <v/>
      </c>
      <c r="G18" s="7"/>
      <c r="H18" s="9" t="str">
        <f aca="false">IF(D18="","",IF(G18&lt;&gt;"","Paid",IF($B$1&lt;F18,"Not due",IF($B$1=F18,"Due today","Overdue"))))</f>
        <v/>
      </c>
      <c r="I18" s="10" t="str">
        <f aca="false">IF(OR(D18="",G18&lt;&gt;""),"",MAX(0,$B$1-F18))</f>
        <v/>
      </c>
      <c r="J18" s="10" t="str">
        <f aca="false">IF(OR(D18="",G18&lt;&gt;""),"",IF($B$1&gt;=F18+30,"E",IF($B$1&gt;=F18+14,"D",IF($B$1&gt;=F18+7,"C",IF($B$1&gt;=F18,"B",IF($B$1&gt;=F18-3,"A","—"))))))</f>
        <v/>
      </c>
      <c r="K18" s="5"/>
      <c r="L18" s="9" t="str">
        <f aca="false">IF(OR(J18="",J18="—"),"",IF(K18="","Send "&amp;J18,IF(CODE(J18)&gt;CODE(K18),"Send "&amp;J18,"Up to date")))</f>
        <v/>
      </c>
    </row>
    <row r="19" customFormat="false" ht="15" hidden="false" customHeight="false" outlineLevel="0" collapsed="false">
      <c r="A19" s="5"/>
      <c r="B19" s="5"/>
      <c r="C19" s="6"/>
      <c r="D19" s="7"/>
      <c r="E19" s="5"/>
      <c r="F19" s="8" t="str">
        <f aca="false">IF(D19="","",D19+E19)</f>
        <v/>
      </c>
      <c r="G19" s="7"/>
      <c r="H19" s="9" t="str">
        <f aca="false">IF(D19="","",IF(G19&lt;&gt;"","Paid",IF($B$1&lt;F19,"Not due",IF($B$1=F19,"Due today","Overdue"))))</f>
        <v/>
      </c>
      <c r="I19" s="10" t="str">
        <f aca="false">IF(OR(D19="",G19&lt;&gt;""),"",MAX(0,$B$1-F19))</f>
        <v/>
      </c>
      <c r="J19" s="10" t="str">
        <f aca="false">IF(OR(D19="",G19&lt;&gt;""),"",IF($B$1&gt;=F19+30,"E",IF($B$1&gt;=F19+14,"D",IF($B$1&gt;=F19+7,"C",IF($B$1&gt;=F19,"B",IF($B$1&gt;=F19-3,"A","—"))))))</f>
        <v/>
      </c>
      <c r="K19" s="5"/>
      <c r="L19" s="9" t="str">
        <f aca="false">IF(OR(J19="",J19="—"),"",IF(K19="","Send "&amp;J19,IF(CODE(J19)&gt;CODE(K19),"Send "&amp;J19,"Up to date")))</f>
        <v/>
      </c>
    </row>
    <row r="20" customFormat="false" ht="15" hidden="false" customHeight="false" outlineLevel="0" collapsed="false">
      <c r="A20" s="5"/>
      <c r="B20" s="5"/>
      <c r="C20" s="6"/>
      <c r="D20" s="7"/>
      <c r="E20" s="5"/>
      <c r="F20" s="8" t="str">
        <f aca="false">IF(D20="","",D20+E20)</f>
        <v/>
      </c>
      <c r="G20" s="7"/>
      <c r="H20" s="9" t="str">
        <f aca="false">IF(D20="","",IF(G20&lt;&gt;"","Paid",IF($B$1&lt;F20,"Not due",IF($B$1=F20,"Due today","Overdue"))))</f>
        <v/>
      </c>
      <c r="I20" s="10" t="str">
        <f aca="false">IF(OR(D20="",G20&lt;&gt;""),"",MAX(0,$B$1-F20))</f>
        <v/>
      </c>
      <c r="J20" s="10" t="str">
        <f aca="false">IF(OR(D20="",G20&lt;&gt;""),"",IF($B$1&gt;=F20+30,"E",IF($B$1&gt;=F20+14,"D",IF($B$1&gt;=F20+7,"C",IF($B$1&gt;=F20,"B",IF($B$1&gt;=F20-3,"A","—"))))))</f>
        <v/>
      </c>
      <c r="K20" s="5"/>
      <c r="L20" s="9" t="str">
        <f aca="false">IF(OR(J20="",J20="—"),"",IF(K20="","Send "&amp;J20,IF(CODE(J20)&gt;CODE(K20),"Send "&amp;J20,"Up to date")))</f>
        <v/>
      </c>
    </row>
    <row r="21" customFormat="false" ht="15" hidden="false" customHeight="false" outlineLevel="0" collapsed="false">
      <c r="A21" s="5"/>
      <c r="B21" s="5"/>
      <c r="C21" s="6"/>
      <c r="D21" s="7"/>
      <c r="E21" s="5"/>
      <c r="F21" s="8" t="str">
        <f aca="false">IF(D21="","",D21+E21)</f>
        <v/>
      </c>
      <c r="G21" s="7"/>
      <c r="H21" s="9" t="str">
        <f aca="false">IF(D21="","",IF(G21&lt;&gt;"","Paid",IF($B$1&lt;F21,"Not due",IF($B$1=F21,"Due today","Overdue"))))</f>
        <v/>
      </c>
      <c r="I21" s="10" t="str">
        <f aca="false">IF(OR(D21="",G21&lt;&gt;""),"",MAX(0,$B$1-F21))</f>
        <v/>
      </c>
      <c r="J21" s="10" t="str">
        <f aca="false">IF(OR(D21="",G21&lt;&gt;""),"",IF($B$1&gt;=F21+30,"E",IF($B$1&gt;=F21+14,"D",IF($B$1&gt;=F21+7,"C",IF($B$1&gt;=F21,"B",IF($B$1&gt;=F21-3,"A","—"))))))</f>
        <v/>
      </c>
      <c r="K21" s="5"/>
      <c r="L21" s="9" t="str">
        <f aca="false">IF(OR(J21="",J21="—"),"",IF(K21="","Send "&amp;J21,IF(CODE(J21)&gt;CODE(K21),"Send "&amp;J21,"Up to date")))</f>
        <v/>
      </c>
    </row>
    <row r="22" customFormat="false" ht="15" hidden="false" customHeight="false" outlineLevel="0" collapsed="false">
      <c r="A22" s="5"/>
      <c r="B22" s="5"/>
      <c r="C22" s="6"/>
      <c r="D22" s="7"/>
      <c r="E22" s="5"/>
      <c r="F22" s="8" t="str">
        <f aca="false">IF(D22="","",D22+E22)</f>
        <v/>
      </c>
      <c r="G22" s="7"/>
      <c r="H22" s="9" t="str">
        <f aca="false">IF(D22="","",IF(G22&lt;&gt;"","Paid",IF($B$1&lt;F22,"Not due",IF($B$1=F22,"Due today","Overdue"))))</f>
        <v/>
      </c>
      <c r="I22" s="10" t="str">
        <f aca="false">IF(OR(D22="",G22&lt;&gt;""),"",MAX(0,$B$1-F22))</f>
        <v/>
      </c>
      <c r="J22" s="10" t="str">
        <f aca="false">IF(OR(D22="",G22&lt;&gt;""),"",IF($B$1&gt;=F22+30,"E",IF($B$1&gt;=F22+14,"D",IF($B$1&gt;=F22+7,"C",IF($B$1&gt;=F22,"B",IF($B$1&gt;=F22-3,"A","—"))))))</f>
        <v/>
      </c>
      <c r="K22" s="5"/>
      <c r="L22" s="9" t="str">
        <f aca="false">IF(OR(J22="",J22="—"),"",IF(K22="","Send "&amp;J22,IF(CODE(J22)&gt;CODE(K22),"Send "&amp;J22,"Up to date")))</f>
        <v/>
      </c>
    </row>
    <row r="23" customFormat="false" ht="15" hidden="false" customHeight="false" outlineLevel="0" collapsed="false">
      <c r="A23" s="5"/>
      <c r="B23" s="5"/>
      <c r="C23" s="6"/>
      <c r="D23" s="7"/>
      <c r="E23" s="5"/>
      <c r="F23" s="8" t="str">
        <f aca="false">IF(D23="","",D23+E23)</f>
        <v/>
      </c>
      <c r="G23" s="7"/>
      <c r="H23" s="9" t="str">
        <f aca="false">IF(D23="","",IF(G23&lt;&gt;"","Paid",IF($B$1&lt;F23,"Not due",IF($B$1=F23,"Due today","Overdue"))))</f>
        <v/>
      </c>
      <c r="I23" s="10" t="str">
        <f aca="false">IF(OR(D23="",G23&lt;&gt;""),"",MAX(0,$B$1-F23))</f>
        <v/>
      </c>
      <c r="J23" s="10" t="str">
        <f aca="false">IF(OR(D23="",G23&lt;&gt;""),"",IF($B$1&gt;=F23+30,"E",IF($B$1&gt;=F23+14,"D",IF($B$1&gt;=F23+7,"C",IF($B$1&gt;=F23,"B",IF($B$1&gt;=F23-3,"A","—"))))))</f>
        <v/>
      </c>
      <c r="K23" s="5"/>
      <c r="L23" s="9" t="str">
        <f aca="false">IF(OR(J23="",J23="—"),"",IF(K23="","Send "&amp;J23,IF(CODE(J23)&gt;CODE(K23),"Send "&amp;J23,"Up to date")))</f>
        <v/>
      </c>
    </row>
    <row r="24" customFormat="false" ht="15" hidden="false" customHeight="false" outlineLevel="0" collapsed="false">
      <c r="A24" s="5"/>
      <c r="B24" s="5"/>
      <c r="C24" s="6"/>
      <c r="D24" s="7"/>
      <c r="E24" s="5"/>
      <c r="F24" s="8" t="str">
        <f aca="false">IF(D24="","",D24+E24)</f>
        <v/>
      </c>
      <c r="G24" s="7"/>
      <c r="H24" s="9" t="str">
        <f aca="false">IF(D24="","",IF(G24&lt;&gt;"","Paid",IF($B$1&lt;F24,"Not due",IF($B$1=F24,"Due today","Overdue"))))</f>
        <v/>
      </c>
      <c r="I24" s="10" t="str">
        <f aca="false">IF(OR(D24="",G24&lt;&gt;""),"",MAX(0,$B$1-F24))</f>
        <v/>
      </c>
      <c r="J24" s="10" t="str">
        <f aca="false">IF(OR(D24="",G24&lt;&gt;""),"",IF($B$1&gt;=F24+30,"E",IF($B$1&gt;=F24+14,"D",IF($B$1&gt;=F24+7,"C",IF($B$1&gt;=F24,"B",IF($B$1&gt;=F24-3,"A","—"))))))</f>
        <v/>
      </c>
      <c r="K24" s="5"/>
      <c r="L24" s="9" t="str">
        <f aca="false">IF(OR(J24="",J24="—"),"",IF(K24="","Send "&amp;J24,IF(CODE(J24)&gt;CODE(K24),"Send "&amp;J24,"Up to date")))</f>
        <v/>
      </c>
    </row>
    <row r="25" customFormat="false" ht="15" hidden="false" customHeight="false" outlineLevel="0" collapsed="false">
      <c r="A25" s="5"/>
      <c r="B25" s="5"/>
      <c r="C25" s="6"/>
      <c r="D25" s="7"/>
      <c r="E25" s="5"/>
      <c r="F25" s="8" t="str">
        <f aca="false">IF(D25="","",D25+E25)</f>
        <v/>
      </c>
      <c r="G25" s="7"/>
      <c r="H25" s="9" t="str">
        <f aca="false">IF(D25="","",IF(G25&lt;&gt;"","Paid",IF($B$1&lt;F25,"Not due",IF($B$1=F25,"Due today","Overdue"))))</f>
        <v/>
      </c>
      <c r="I25" s="10" t="str">
        <f aca="false">IF(OR(D25="",G25&lt;&gt;""),"",MAX(0,$B$1-F25))</f>
        <v/>
      </c>
      <c r="J25" s="10" t="str">
        <f aca="false">IF(OR(D25="",G25&lt;&gt;""),"",IF($B$1&gt;=F25+30,"E",IF($B$1&gt;=F25+14,"D",IF($B$1&gt;=F25+7,"C",IF($B$1&gt;=F25,"B",IF($B$1&gt;=F25-3,"A","—"))))))</f>
        <v/>
      </c>
      <c r="K25" s="5"/>
      <c r="L25" s="9" t="str">
        <f aca="false">IF(OR(J25="",J25="—"),"",IF(K25="","Send "&amp;J25,IF(CODE(J25)&gt;CODE(K25),"Send "&amp;J25,"Up to date")))</f>
        <v/>
      </c>
    </row>
    <row r="26" customFormat="false" ht="15" hidden="false" customHeight="false" outlineLevel="0" collapsed="false">
      <c r="A26" s="5"/>
      <c r="B26" s="5"/>
      <c r="C26" s="6"/>
      <c r="D26" s="7"/>
      <c r="E26" s="5"/>
      <c r="F26" s="8" t="str">
        <f aca="false">IF(D26="","",D26+E26)</f>
        <v/>
      </c>
      <c r="G26" s="7"/>
      <c r="H26" s="9" t="str">
        <f aca="false">IF(D26="","",IF(G26&lt;&gt;"","Paid",IF($B$1&lt;F26,"Not due",IF($B$1=F26,"Due today","Overdue"))))</f>
        <v/>
      </c>
      <c r="I26" s="10" t="str">
        <f aca="false">IF(OR(D26="",G26&lt;&gt;""),"",MAX(0,$B$1-F26))</f>
        <v/>
      </c>
      <c r="J26" s="10" t="str">
        <f aca="false">IF(OR(D26="",G26&lt;&gt;""),"",IF($B$1&gt;=F26+30,"E",IF($B$1&gt;=F26+14,"D",IF($B$1&gt;=F26+7,"C",IF($B$1&gt;=F26,"B",IF($B$1&gt;=F26-3,"A","—"))))))</f>
        <v/>
      </c>
      <c r="K26" s="5"/>
      <c r="L26" s="9" t="str">
        <f aca="false">IF(OR(J26="",J26="—"),"",IF(K26="","Send "&amp;J26,IF(CODE(J26)&gt;CODE(K26),"Send "&amp;J26,"Up to date")))</f>
        <v/>
      </c>
    </row>
    <row r="27" customFormat="false" ht="15" hidden="false" customHeight="false" outlineLevel="0" collapsed="false">
      <c r="A27" s="5"/>
      <c r="B27" s="5"/>
      <c r="C27" s="6"/>
      <c r="D27" s="7"/>
      <c r="E27" s="5"/>
      <c r="F27" s="8" t="str">
        <f aca="false">IF(D27="","",D27+E27)</f>
        <v/>
      </c>
      <c r="G27" s="7"/>
      <c r="H27" s="9" t="str">
        <f aca="false">IF(D27="","",IF(G27&lt;&gt;"","Paid",IF($B$1&lt;F27,"Not due",IF($B$1=F27,"Due today","Overdue"))))</f>
        <v/>
      </c>
      <c r="I27" s="10" t="str">
        <f aca="false">IF(OR(D27="",G27&lt;&gt;""),"",MAX(0,$B$1-F27))</f>
        <v/>
      </c>
      <c r="J27" s="10" t="str">
        <f aca="false">IF(OR(D27="",G27&lt;&gt;""),"",IF($B$1&gt;=F27+30,"E",IF($B$1&gt;=F27+14,"D",IF($B$1&gt;=F27+7,"C",IF($B$1&gt;=F27,"B",IF($B$1&gt;=F27-3,"A","—"))))))</f>
        <v/>
      </c>
      <c r="K27" s="5"/>
      <c r="L27" s="9" t="str">
        <f aca="false">IF(OR(J27="",J27="—"),"",IF(K27="","Send "&amp;J27,IF(CODE(J27)&gt;CODE(K27),"Send "&amp;J27,"Up to date")))</f>
        <v/>
      </c>
    </row>
    <row r="28" customFormat="false" ht="15" hidden="false" customHeight="false" outlineLevel="0" collapsed="false">
      <c r="A28" s="5"/>
      <c r="B28" s="5"/>
      <c r="C28" s="6"/>
      <c r="D28" s="7"/>
      <c r="E28" s="5"/>
      <c r="F28" s="8" t="str">
        <f aca="false">IF(D28="","",D28+E28)</f>
        <v/>
      </c>
      <c r="G28" s="7"/>
      <c r="H28" s="9" t="str">
        <f aca="false">IF(D28="","",IF(G28&lt;&gt;"","Paid",IF($B$1&lt;F28,"Not due",IF($B$1=F28,"Due today","Overdue"))))</f>
        <v/>
      </c>
      <c r="I28" s="10" t="str">
        <f aca="false">IF(OR(D28="",G28&lt;&gt;""),"",MAX(0,$B$1-F28))</f>
        <v/>
      </c>
      <c r="J28" s="10" t="str">
        <f aca="false">IF(OR(D28="",G28&lt;&gt;""),"",IF($B$1&gt;=F28+30,"E",IF($B$1&gt;=F28+14,"D",IF($B$1&gt;=F28+7,"C",IF($B$1&gt;=F28,"B",IF($B$1&gt;=F28-3,"A","—"))))))</f>
        <v/>
      </c>
      <c r="K28" s="5"/>
      <c r="L28" s="9" t="str">
        <f aca="false">IF(OR(J28="",J28="—"),"",IF(K28="","Send "&amp;J28,IF(CODE(J28)&gt;CODE(K28),"Send "&amp;J28,"Up to date")))</f>
        <v/>
      </c>
    </row>
    <row r="29" customFormat="false" ht="15" hidden="false" customHeight="false" outlineLevel="0" collapsed="false">
      <c r="A29" s="5"/>
      <c r="B29" s="5"/>
      <c r="C29" s="6"/>
      <c r="D29" s="7"/>
      <c r="E29" s="5"/>
      <c r="F29" s="8" t="str">
        <f aca="false">IF(D29="","",D29+E29)</f>
        <v/>
      </c>
      <c r="G29" s="7"/>
      <c r="H29" s="9" t="str">
        <f aca="false">IF(D29="","",IF(G29&lt;&gt;"","Paid",IF($B$1&lt;F29,"Not due",IF($B$1=F29,"Due today","Overdue"))))</f>
        <v/>
      </c>
      <c r="I29" s="10" t="str">
        <f aca="false">IF(OR(D29="",G29&lt;&gt;""),"",MAX(0,$B$1-F29))</f>
        <v/>
      </c>
      <c r="J29" s="10" t="str">
        <f aca="false">IF(OR(D29="",G29&lt;&gt;""),"",IF($B$1&gt;=F29+30,"E",IF($B$1&gt;=F29+14,"D",IF($B$1&gt;=F29+7,"C",IF($B$1&gt;=F29,"B",IF($B$1&gt;=F29-3,"A","—"))))))</f>
        <v/>
      </c>
      <c r="K29" s="5"/>
      <c r="L29" s="9" t="str">
        <f aca="false">IF(OR(J29="",J29="—"),"",IF(K29="","Send "&amp;J29,IF(CODE(J29)&gt;CODE(K29),"Send "&amp;J29,"Up to date")))</f>
        <v/>
      </c>
    </row>
    <row r="30" customFormat="false" ht="15" hidden="false" customHeight="false" outlineLevel="0" collapsed="false">
      <c r="A30" s="5"/>
      <c r="B30" s="5"/>
      <c r="C30" s="6"/>
      <c r="D30" s="7"/>
      <c r="E30" s="5"/>
      <c r="F30" s="8" t="str">
        <f aca="false">IF(D30="","",D30+E30)</f>
        <v/>
      </c>
      <c r="G30" s="7"/>
      <c r="H30" s="9" t="str">
        <f aca="false">IF(D30="","",IF(G30&lt;&gt;"","Paid",IF($B$1&lt;F30,"Not due",IF($B$1=F30,"Due today","Overdue"))))</f>
        <v/>
      </c>
      <c r="I30" s="10" t="str">
        <f aca="false">IF(OR(D30="",G30&lt;&gt;""),"",MAX(0,$B$1-F30))</f>
        <v/>
      </c>
      <c r="J30" s="10" t="str">
        <f aca="false">IF(OR(D30="",G30&lt;&gt;""),"",IF($B$1&gt;=F30+30,"E",IF($B$1&gt;=F30+14,"D",IF($B$1&gt;=F30+7,"C",IF($B$1&gt;=F30,"B",IF($B$1&gt;=F30-3,"A","—"))))))</f>
        <v/>
      </c>
      <c r="K30" s="5"/>
      <c r="L30" s="9" t="str">
        <f aca="false">IF(OR(J30="",J30="—"),"",IF(K30="","Send "&amp;J30,IF(CODE(J30)&gt;CODE(K30),"Send "&amp;J30,"Up to date")))</f>
        <v/>
      </c>
    </row>
    <row r="31" customFormat="false" ht="15" hidden="false" customHeight="false" outlineLevel="0" collapsed="false">
      <c r="A31" s="5"/>
      <c r="B31" s="5"/>
      <c r="C31" s="6"/>
      <c r="D31" s="7"/>
      <c r="E31" s="5"/>
      <c r="F31" s="8" t="str">
        <f aca="false">IF(D31="","",D31+E31)</f>
        <v/>
      </c>
      <c r="G31" s="7"/>
      <c r="H31" s="9" t="str">
        <f aca="false">IF(D31="","",IF(G31&lt;&gt;"","Paid",IF($B$1&lt;F31,"Not due",IF($B$1=F31,"Due today","Overdue"))))</f>
        <v/>
      </c>
      <c r="I31" s="10" t="str">
        <f aca="false">IF(OR(D31="",G31&lt;&gt;""),"",MAX(0,$B$1-F31))</f>
        <v/>
      </c>
      <c r="J31" s="10" t="str">
        <f aca="false">IF(OR(D31="",G31&lt;&gt;""),"",IF($B$1&gt;=F31+30,"E",IF($B$1&gt;=F31+14,"D",IF($B$1&gt;=F31+7,"C",IF($B$1&gt;=F31,"B",IF($B$1&gt;=F31-3,"A","—"))))))</f>
        <v/>
      </c>
      <c r="K31" s="5"/>
      <c r="L31" s="9" t="str">
        <f aca="false">IF(OR(J31="",J31="—"),"",IF(K31="","Send "&amp;J31,IF(CODE(J31)&gt;CODE(K31),"Send "&amp;J31,"Up to date")))</f>
        <v/>
      </c>
    </row>
    <row r="32" customFormat="false" ht="15" hidden="false" customHeight="false" outlineLevel="0" collapsed="false">
      <c r="A32" s="5"/>
      <c r="B32" s="5"/>
      <c r="C32" s="6"/>
      <c r="D32" s="7"/>
      <c r="E32" s="5"/>
      <c r="F32" s="8" t="str">
        <f aca="false">IF(D32="","",D32+E32)</f>
        <v/>
      </c>
      <c r="G32" s="7"/>
      <c r="H32" s="9" t="str">
        <f aca="false">IF(D32="","",IF(G32&lt;&gt;"","Paid",IF($B$1&lt;F32,"Not due",IF($B$1=F32,"Due today","Overdue"))))</f>
        <v/>
      </c>
      <c r="I32" s="10" t="str">
        <f aca="false">IF(OR(D32="",G32&lt;&gt;""),"",MAX(0,$B$1-F32))</f>
        <v/>
      </c>
      <c r="J32" s="10" t="str">
        <f aca="false">IF(OR(D32="",G32&lt;&gt;""),"",IF($B$1&gt;=F32+30,"E",IF($B$1&gt;=F32+14,"D",IF($B$1&gt;=F32+7,"C",IF($B$1&gt;=F32,"B",IF($B$1&gt;=F32-3,"A","—"))))))</f>
        <v/>
      </c>
      <c r="K32" s="5"/>
      <c r="L32" s="9" t="str">
        <f aca="false">IF(OR(J32="",J32="—"),"",IF(K32="","Send "&amp;J32,IF(CODE(J32)&gt;CODE(K32),"Send "&amp;J32,"Up to date")))</f>
        <v/>
      </c>
    </row>
    <row r="33" customFormat="false" ht="15" hidden="false" customHeight="false" outlineLevel="0" collapsed="false">
      <c r="A33" s="5"/>
      <c r="B33" s="5"/>
      <c r="C33" s="6"/>
      <c r="D33" s="7"/>
      <c r="E33" s="5"/>
      <c r="F33" s="8" t="str">
        <f aca="false">IF(D33="","",D33+E33)</f>
        <v/>
      </c>
      <c r="G33" s="7"/>
      <c r="H33" s="9" t="str">
        <f aca="false">IF(D33="","",IF(G33&lt;&gt;"","Paid",IF($B$1&lt;F33,"Not due",IF($B$1=F33,"Due today","Overdue"))))</f>
        <v/>
      </c>
      <c r="I33" s="10" t="str">
        <f aca="false">IF(OR(D33="",G33&lt;&gt;""),"",MAX(0,$B$1-F33))</f>
        <v/>
      </c>
      <c r="J33" s="10" t="str">
        <f aca="false">IF(OR(D33="",G33&lt;&gt;""),"",IF($B$1&gt;=F33+30,"E",IF($B$1&gt;=F33+14,"D",IF($B$1&gt;=F33+7,"C",IF($B$1&gt;=F33,"B",IF($B$1&gt;=F33-3,"A","—"))))))</f>
        <v/>
      </c>
      <c r="K33" s="5"/>
      <c r="L33" s="9" t="str">
        <f aca="false">IF(OR(J33="",J33="—"),"",IF(K33="","Send "&amp;J33,IF(CODE(J33)&gt;CODE(K33),"Send "&amp;J33,"Up to date")))</f>
        <v/>
      </c>
    </row>
    <row r="34" customFormat="false" ht="15" hidden="false" customHeight="false" outlineLevel="0" collapsed="false">
      <c r="A34" s="5"/>
      <c r="B34" s="5"/>
      <c r="C34" s="6"/>
      <c r="D34" s="7"/>
      <c r="E34" s="5"/>
      <c r="F34" s="8" t="str">
        <f aca="false">IF(D34="","",D34+E34)</f>
        <v/>
      </c>
      <c r="G34" s="7"/>
      <c r="H34" s="9" t="str">
        <f aca="false">IF(D34="","",IF(G34&lt;&gt;"","Paid",IF($B$1&lt;F34,"Not due",IF($B$1=F34,"Due today","Overdue"))))</f>
        <v/>
      </c>
      <c r="I34" s="10" t="str">
        <f aca="false">IF(OR(D34="",G34&lt;&gt;""),"",MAX(0,$B$1-F34))</f>
        <v/>
      </c>
      <c r="J34" s="10" t="str">
        <f aca="false">IF(OR(D34="",G34&lt;&gt;""),"",IF($B$1&gt;=F34+30,"E",IF($B$1&gt;=F34+14,"D",IF($B$1&gt;=F34+7,"C",IF($B$1&gt;=F34,"B",IF($B$1&gt;=F34-3,"A","—"))))))</f>
        <v/>
      </c>
      <c r="K34" s="5"/>
      <c r="L34" s="9" t="str">
        <f aca="false">IF(OR(J34="",J34="—"),"",IF(K34="","Send "&amp;J34,IF(CODE(J34)&gt;CODE(K34),"Send "&amp;J34,"Up to date")))</f>
        <v/>
      </c>
    </row>
    <row r="35" customFormat="false" ht="15" hidden="false" customHeight="false" outlineLevel="0" collapsed="false">
      <c r="A35" s="5"/>
      <c r="B35" s="5"/>
      <c r="C35" s="6"/>
      <c r="D35" s="7"/>
      <c r="E35" s="5"/>
      <c r="F35" s="8" t="str">
        <f aca="false">IF(D35="","",D35+E35)</f>
        <v/>
      </c>
      <c r="G35" s="7"/>
      <c r="H35" s="9" t="str">
        <f aca="false">IF(D35="","",IF(G35&lt;&gt;"","Paid",IF($B$1&lt;F35,"Not due",IF($B$1=F35,"Due today","Overdue"))))</f>
        <v/>
      </c>
      <c r="I35" s="10" t="str">
        <f aca="false">IF(OR(D35="",G35&lt;&gt;""),"",MAX(0,$B$1-F35))</f>
        <v/>
      </c>
      <c r="J35" s="10" t="str">
        <f aca="false">IF(OR(D35="",G35&lt;&gt;""),"",IF($B$1&gt;=F35+30,"E",IF($B$1&gt;=F35+14,"D",IF($B$1&gt;=F35+7,"C",IF($B$1&gt;=F35,"B",IF($B$1&gt;=F35-3,"A","—"))))))</f>
        <v/>
      </c>
      <c r="K35" s="5"/>
      <c r="L35" s="9" t="str">
        <f aca="false">IF(OR(J35="",J35="—"),"",IF(K35="","Send "&amp;J35,IF(CODE(J35)&gt;CODE(K35),"Send "&amp;J35,"Up to date")))</f>
        <v/>
      </c>
    </row>
    <row r="36" customFormat="false" ht="15" hidden="false" customHeight="false" outlineLevel="0" collapsed="false">
      <c r="A36" s="5"/>
      <c r="B36" s="5"/>
      <c r="C36" s="6"/>
      <c r="D36" s="7"/>
      <c r="E36" s="5"/>
      <c r="F36" s="8" t="str">
        <f aca="false">IF(D36="","",D36+E36)</f>
        <v/>
      </c>
      <c r="G36" s="7"/>
      <c r="H36" s="9" t="str">
        <f aca="false">IF(D36="","",IF(G36&lt;&gt;"","Paid",IF($B$1&lt;F36,"Not due",IF($B$1=F36,"Due today","Overdue"))))</f>
        <v/>
      </c>
      <c r="I36" s="10" t="str">
        <f aca="false">IF(OR(D36="",G36&lt;&gt;""),"",MAX(0,$B$1-F36))</f>
        <v/>
      </c>
      <c r="J36" s="10" t="str">
        <f aca="false">IF(OR(D36="",G36&lt;&gt;""),"",IF($B$1&gt;=F36+30,"E",IF($B$1&gt;=F36+14,"D",IF($B$1&gt;=F36+7,"C",IF($B$1&gt;=F36,"B",IF($B$1&gt;=F36-3,"A","—"))))))</f>
        <v/>
      </c>
      <c r="K36" s="5"/>
      <c r="L36" s="9" t="str">
        <f aca="false">IF(OR(J36="",J36="—"),"",IF(K36="","Send "&amp;J36,IF(CODE(J36)&gt;CODE(K36),"Send "&amp;J36,"Up to date")))</f>
        <v/>
      </c>
    </row>
    <row r="37" customFormat="false" ht="15" hidden="false" customHeight="false" outlineLevel="0" collapsed="false">
      <c r="A37" s="5"/>
      <c r="B37" s="5"/>
      <c r="C37" s="6"/>
      <c r="D37" s="7"/>
      <c r="E37" s="5"/>
      <c r="F37" s="8" t="str">
        <f aca="false">IF(D37="","",D37+E37)</f>
        <v/>
      </c>
      <c r="G37" s="7"/>
      <c r="H37" s="9" t="str">
        <f aca="false">IF(D37="","",IF(G37&lt;&gt;"","Paid",IF($B$1&lt;F37,"Not due",IF($B$1=F37,"Due today","Overdue"))))</f>
        <v/>
      </c>
      <c r="I37" s="10" t="str">
        <f aca="false">IF(OR(D37="",G37&lt;&gt;""),"",MAX(0,$B$1-F37))</f>
        <v/>
      </c>
      <c r="J37" s="10" t="str">
        <f aca="false">IF(OR(D37="",G37&lt;&gt;""),"",IF($B$1&gt;=F37+30,"E",IF($B$1&gt;=F37+14,"D",IF($B$1&gt;=F37+7,"C",IF($B$1&gt;=F37,"B",IF($B$1&gt;=F37-3,"A","—"))))))</f>
        <v/>
      </c>
      <c r="K37" s="5"/>
      <c r="L37" s="9" t="str">
        <f aca="false">IF(OR(J37="",J37="—"),"",IF(K37="","Send "&amp;J37,IF(CODE(J37)&gt;CODE(K37),"Send "&amp;J37,"Up to date")))</f>
        <v/>
      </c>
    </row>
    <row r="38" customFormat="false" ht="15" hidden="false" customHeight="false" outlineLevel="0" collapsed="false">
      <c r="A38" s="5"/>
      <c r="B38" s="5"/>
      <c r="C38" s="6"/>
      <c r="D38" s="7"/>
      <c r="E38" s="5"/>
      <c r="F38" s="8" t="str">
        <f aca="false">IF(D38="","",D38+E38)</f>
        <v/>
      </c>
      <c r="G38" s="7"/>
      <c r="H38" s="9" t="str">
        <f aca="false">IF(D38="","",IF(G38&lt;&gt;"","Paid",IF($B$1&lt;F38,"Not due",IF($B$1=F38,"Due today","Overdue"))))</f>
        <v/>
      </c>
      <c r="I38" s="10" t="str">
        <f aca="false">IF(OR(D38="",G38&lt;&gt;""),"",MAX(0,$B$1-F38))</f>
        <v/>
      </c>
      <c r="J38" s="10" t="str">
        <f aca="false">IF(OR(D38="",G38&lt;&gt;""),"",IF($B$1&gt;=F38+30,"E",IF($B$1&gt;=F38+14,"D",IF($B$1&gt;=F38+7,"C",IF($B$1&gt;=F38,"B",IF($B$1&gt;=F38-3,"A","—"))))))</f>
        <v/>
      </c>
      <c r="K38" s="5"/>
      <c r="L38" s="9" t="str">
        <f aca="false">IF(OR(J38="",J38="—"),"",IF(K38="","Send "&amp;J38,IF(CODE(J38)&gt;CODE(K38),"Send "&amp;J38,"Up to date")))</f>
        <v/>
      </c>
    </row>
    <row r="39" customFormat="false" ht="15" hidden="false" customHeight="false" outlineLevel="0" collapsed="false">
      <c r="A39" s="5"/>
      <c r="B39" s="5"/>
      <c r="C39" s="6"/>
      <c r="D39" s="7"/>
      <c r="E39" s="5"/>
      <c r="F39" s="8" t="str">
        <f aca="false">IF(D39="","",D39+E39)</f>
        <v/>
      </c>
      <c r="G39" s="7"/>
      <c r="H39" s="9" t="str">
        <f aca="false">IF(D39="","",IF(G39&lt;&gt;"","Paid",IF($B$1&lt;F39,"Not due",IF($B$1=F39,"Due today","Overdue"))))</f>
        <v/>
      </c>
      <c r="I39" s="10" t="str">
        <f aca="false">IF(OR(D39="",G39&lt;&gt;""),"",MAX(0,$B$1-F39))</f>
        <v/>
      </c>
      <c r="J39" s="10" t="str">
        <f aca="false">IF(OR(D39="",G39&lt;&gt;""),"",IF($B$1&gt;=F39+30,"E",IF($B$1&gt;=F39+14,"D",IF($B$1&gt;=F39+7,"C",IF($B$1&gt;=F39,"B",IF($B$1&gt;=F39-3,"A","—"))))))</f>
        <v/>
      </c>
      <c r="K39" s="5"/>
      <c r="L39" s="9" t="str">
        <f aca="false">IF(OR(J39="",J39="—"),"",IF(K39="","Send "&amp;J39,IF(CODE(J39)&gt;CODE(K39),"Send "&amp;J39,"Up to date")))</f>
        <v/>
      </c>
    </row>
    <row r="40" customFormat="false" ht="15" hidden="false" customHeight="false" outlineLevel="0" collapsed="false">
      <c r="A40" s="5"/>
      <c r="B40" s="5"/>
      <c r="C40" s="6"/>
      <c r="D40" s="7"/>
      <c r="E40" s="5"/>
      <c r="F40" s="8" t="str">
        <f aca="false">IF(D40="","",D40+E40)</f>
        <v/>
      </c>
      <c r="G40" s="7"/>
      <c r="H40" s="9" t="str">
        <f aca="false">IF(D40="","",IF(G40&lt;&gt;"","Paid",IF($B$1&lt;F40,"Not due",IF($B$1=F40,"Due today","Overdue"))))</f>
        <v/>
      </c>
      <c r="I40" s="10" t="str">
        <f aca="false">IF(OR(D40="",G40&lt;&gt;""),"",MAX(0,$B$1-F40))</f>
        <v/>
      </c>
      <c r="J40" s="10" t="str">
        <f aca="false">IF(OR(D40="",G40&lt;&gt;""),"",IF($B$1&gt;=F40+30,"E",IF($B$1&gt;=F40+14,"D",IF($B$1&gt;=F40+7,"C",IF($B$1&gt;=F40,"B",IF($B$1&gt;=F40-3,"A","—"))))))</f>
        <v/>
      </c>
      <c r="K40" s="5"/>
      <c r="L40" s="9" t="str">
        <f aca="false">IF(OR(J40="",J40="—"),"",IF(K40="","Send "&amp;J40,IF(CODE(J40)&gt;CODE(K40),"Send "&amp;J40,"Up to date")))</f>
        <v/>
      </c>
    </row>
    <row r="41" customFormat="false" ht="15" hidden="false" customHeight="false" outlineLevel="0" collapsed="false">
      <c r="A41" s="5"/>
      <c r="B41" s="5"/>
      <c r="C41" s="6"/>
      <c r="D41" s="7"/>
      <c r="E41" s="5"/>
      <c r="F41" s="8" t="str">
        <f aca="false">IF(D41="","",D41+E41)</f>
        <v/>
      </c>
      <c r="G41" s="7"/>
      <c r="H41" s="9" t="str">
        <f aca="false">IF(D41="","",IF(G41&lt;&gt;"","Paid",IF($B$1&lt;F41,"Not due",IF($B$1=F41,"Due today","Overdue"))))</f>
        <v/>
      </c>
      <c r="I41" s="10" t="str">
        <f aca="false">IF(OR(D41="",G41&lt;&gt;""),"",MAX(0,$B$1-F41))</f>
        <v/>
      </c>
      <c r="J41" s="10" t="str">
        <f aca="false">IF(OR(D41="",G41&lt;&gt;""),"",IF($B$1&gt;=F41+30,"E",IF($B$1&gt;=F41+14,"D",IF($B$1&gt;=F41+7,"C",IF($B$1&gt;=F41,"B",IF($B$1&gt;=F41-3,"A","—"))))))</f>
        <v/>
      </c>
      <c r="K41" s="5"/>
      <c r="L41" s="9" t="str">
        <f aca="false">IF(OR(J41="",J41="—"),"",IF(K41="","Send "&amp;J41,IF(CODE(J41)&gt;CODE(K41),"Send "&amp;J41,"Up to date")))</f>
        <v/>
      </c>
    </row>
    <row r="42" customFormat="false" ht="15" hidden="false" customHeight="false" outlineLevel="0" collapsed="false">
      <c r="A42" s="5"/>
      <c r="B42" s="5"/>
      <c r="C42" s="6"/>
      <c r="D42" s="7"/>
      <c r="E42" s="5"/>
      <c r="F42" s="8" t="str">
        <f aca="false">IF(D42="","",D42+E42)</f>
        <v/>
      </c>
      <c r="G42" s="7"/>
      <c r="H42" s="9" t="str">
        <f aca="false">IF(D42="","",IF(G42&lt;&gt;"","Paid",IF($B$1&lt;F42,"Not due",IF($B$1=F42,"Due today","Overdue"))))</f>
        <v/>
      </c>
      <c r="I42" s="10" t="str">
        <f aca="false">IF(OR(D42="",G42&lt;&gt;""),"",MAX(0,$B$1-F42))</f>
        <v/>
      </c>
      <c r="J42" s="10" t="str">
        <f aca="false">IF(OR(D42="",G42&lt;&gt;""),"",IF($B$1&gt;=F42+30,"E",IF($B$1&gt;=F42+14,"D",IF($B$1&gt;=F42+7,"C",IF($B$1&gt;=F42,"B",IF($B$1&gt;=F42-3,"A","—"))))))</f>
        <v/>
      </c>
      <c r="K42" s="5"/>
      <c r="L42" s="9" t="str">
        <f aca="false">IF(OR(J42="",J42="—"),"",IF(K42="","Send "&amp;J42,IF(CODE(J42)&gt;CODE(K42),"Send "&amp;J42,"Up to date")))</f>
        <v/>
      </c>
    </row>
    <row r="43" customFormat="false" ht="15" hidden="false" customHeight="false" outlineLevel="0" collapsed="false">
      <c r="A43" s="5"/>
      <c r="B43" s="5"/>
      <c r="C43" s="6"/>
      <c r="D43" s="7"/>
      <c r="E43" s="5"/>
      <c r="F43" s="8" t="str">
        <f aca="false">IF(D43="","",D43+E43)</f>
        <v/>
      </c>
      <c r="G43" s="7"/>
      <c r="H43" s="9" t="str">
        <f aca="false">IF(D43="","",IF(G43&lt;&gt;"","Paid",IF($B$1&lt;F43,"Not due",IF($B$1=F43,"Due today","Overdue"))))</f>
        <v/>
      </c>
      <c r="I43" s="10" t="str">
        <f aca="false">IF(OR(D43="",G43&lt;&gt;""),"",MAX(0,$B$1-F43))</f>
        <v/>
      </c>
      <c r="J43" s="10" t="str">
        <f aca="false">IF(OR(D43="",G43&lt;&gt;""),"",IF($B$1&gt;=F43+30,"E",IF($B$1&gt;=F43+14,"D",IF($B$1&gt;=F43+7,"C",IF($B$1&gt;=F43,"B",IF($B$1&gt;=F43-3,"A","—"))))))</f>
        <v/>
      </c>
      <c r="K43" s="5"/>
      <c r="L43" s="9" t="str">
        <f aca="false">IF(OR(J43="",J43="—"),"",IF(K43="","Send "&amp;J43,IF(CODE(J43)&gt;CODE(K43),"Send "&amp;J43,"Up to date")))</f>
        <v/>
      </c>
    </row>
    <row r="44" customFormat="false" ht="15" hidden="false" customHeight="false" outlineLevel="0" collapsed="false">
      <c r="A44" s="5"/>
      <c r="B44" s="5"/>
      <c r="C44" s="6"/>
      <c r="D44" s="7"/>
      <c r="E44" s="5"/>
      <c r="F44" s="8" t="str">
        <f aca="false">IF(D44="","",D44+E44)</f>
        <v/>
      </c>
      <c r="G44" s="7"/>
      <c r="H44" s="9" t="str">
        <f aca="false">IF(D44="","",IF(G44&lt;&gt;"","Paid",IF($B$1&lt;F44,"Not due",IF($B$1=F44,"Due today","Overdue"))))</f>
        <v/>
      </c>
      <c r="I44" s="10" t="str">
        <f aca="false">IF(OR(D44="",G44&lt;&gt;""),"",MAX(0,$B$1-F44))</f>
        <v/>
      </c>
      <c r="J44" s="10" t="str">
        <f aca="false">IF(OR(D44="",G44&lt;&gt;""),"",IF($B$1&gt;=F44+30,"E",IF($B$1&gt;=F44+14,"D",IF($B$1&gt;=F44+7,"C",IF($B$1&gt;=F44,"B",IF($B$1&gt;=F44-3,"A","—"))))))</f>
        <v/>
      </c>
      <c r="K44" s="5"/>
      <c r="L44" s="9" t="str">
        <f aca="false">IF(OR(J44="",J44="—"),"",IF(K44="","Send "&amp;J44,IF(CODE(J44)&gt;CODE(K44),"Send "&amp;J44,"Up to date")))</f>
        <v/>
      </c>
    </row>
    <row r="45" customFormat="false" ht="15" hidden="false" customHeight="false" outlineLevel="0" collapsed="false">
      <c r="A45" s="5"/>
      <c r="B45" s="5"/>
      <c r="C45" s="6"/>
      <c r="D45" s="7"/>
      <c r="E45" s="5"/>
      <c r="F45" s="8" t="str">
        <f aca="false">IF(D45="","",D45+E45)</f>
        <v/>
      </c>
      <c r="G45" s="7"/>
      <c r="H45" s="9" t="str">
        <f aca="false">IF(D45="","",IF(G45&lt;&gt;"","Paid",IF($B$1&lt;F45,"Not due",IF($B$1=F45,"Due today","Overdue"))))</f>
        <v/>
      </c>
      <c r="I45" s="10" t="str">
        <f aca="false">IF(OR(D45="",G45&lt;&gt;""),"",MAX(0,$B$1-F45))</f>
        <v/>
      </c>
      <c r="J45" s="10" t="str">
        <f aca="false">IF(OR(D45="",G45&lt;&gt;""),"",IF($B$1&gt;=F45+30,"E",IF($B$1&gt;=F45+14,"D",IF($B$1&gt;=F45+7,"C",IF($B$1&gt;=F45,"B",IF($B$1&gt;=F45-3,"A","—"))))))</f>
        <v/>
      </c>
      <c r="K45" s="5"/>
      <c r="L45" s="9" t="str">
        <f aca="false">IF(OR(J45="",J45="—"),"",IF(K45="","Send "&amp;J45,IF(CODE(J45)&gt;CODE(K45),"Send "&amp;J45,"Up to date")))</f>
        <v/>
      </c>
    </row>
    <row r="46" customFormat="false" ht="15" hidden="false" customHeight="false" outlineLevel="0" collapsed="false">
      <c r="A46" s="5"/>
      <c r="B46" s="5"/>
      <c r="C46" s="6"/>
      <c r="D46" s="7"/>
      <c r="E46" s="5"/>
      <c r="F46" s="8" t="str">
        <f aca="false">IF(D46="","",D46+E46)</f>
        <v/>
      </c>
      <c r="G46" s="7"/>
      <c r="H46" s="9" t="str">
        <f aca="false">IF(D46="","",IF(G46&lt;&gt;"","Paid",IF($B$1&lt;F46,"Not due",IF($B$1=F46,"Due today","Overdue"))))</f>
        <v/>
      </c>
      <c r="I46" s="10" t="str">
        <f aca="false">IF(OR(D46="",G46&lt;&gt;""),"",MAX(0,$B$1-F46))</f>
        <v/>
      </c>
      <c r="J46" s="10" t="str">
        <f aca="false">IF(OR(D46="",G46&lt;&gt;""),"",IF($B$1&gt;=F46+30,"E",IF($B$1&gt;=F46+14,"D",IF($B$1&gt;=F46+7,"C",IF($B$1&gt;=F46,"B",IF($B$1&gt;=F46-3,"A","—"))))))</f>
        <v/>
      </c>
      <c r="K46" s="5"/>
      <c r="L46" s="9" t="str">
        <f aca="false">IF(OR(J46="",J46="—"),"",IF(K46="","Send "&amp;J46,IF(CODE(J46)&gt;CODE(K46),"Send "&amp;J46,"Up to date")))</f>
        <v/>
      </c>
    </row>
    <row r="47" customFormat="false" ht="15" hidden="false" customHeight="false" outlineLevel="0" collapsed="false">
      <c r="A47" s="5"/>
      <c r="B47" s="5"/>
      <c r="C47" s="6"/>
      <c r="D47" s="7"/>
      <c r="E47" s="5"/>
      <c r="F47" s="8" t="str">
        <f aca="false">IF(D47="","",D47+E47)</f>
        <v/>
      </c>
      <c r="G47" s="7"/>
      <c r="H47" s="9" t="str">
        <f aca="false">IF(D47="","",IF(G47&lt;&gt;"","Paid",IF($B$1&lt;F47,"Not due",IF($B$1=F47,"Due today","Overdue"))))</f>
        <v/>
      </c>
      <c r="I47" s="10" t="str">
        <f aca="false">IF(OR(D47="",G47&lt;&gt;""),"",MAX(0,$B$1-F47))</f>
        <v/>
      </c>
      <c r="J47" s="10" t="str">
        <f aca="false">IF(OR(D47="",G47&lt;&gt;""),"",IF($B$1&gt;=F47+30,"E",IF($B$1&gt;=F47+14,"D",IF($B$1&gt;=F47+7,"C",IF($B$1&gt;=F47,"B",IF($B$1&gt;=F47-3,"A","—"))))))</f>
        <v/>
      </c>
      <c r="K47" s="5"/>
      <c r="L47" s="9" t="str">
        <f aca="false">IF(OR(J47="",J47="—"),"",IF(K47="","Send "&amp;J47,IF(CODE(J47)&gt;CODE(K47),"Send "&amp;J47,"Up to date")))</f>
        <v/>
      </c>
    </row>
    <row r="48" customFormat="false" ht="15" hidden="false" customHeight="false" outlineLevel="0" collapsed="false">
      <c r="A48" s="5"/>
      <c r="B48" s="5"/>
      <c r="C48" s="6"/>
      <c r="D48" s="7"/>
      <c r="E48" s="5"/>
      <c r="F48" s="8" t="str">
        <f aca="false">IF(D48="","",D48+E48)</f>
        <v/>
      </c>
      <c r="G48" s="7"/>
      <c r="H48" s="9" t="str">
        <f aca="false">IF(D48="","",IF(G48&lt;&gt;"","Paid",IF($B$1&lt;F48,"Not due",IF($B$1=F48,"Due today","Overdue"))))</f>
        <v/>
      </c>
      <c r="I48" s="10" t="str">
        <f aca="false">IF(OR(D48="",G48&lt;&gt;""),"",MAX(0,$B$1-F48))</f>
        <v/>
      </c>
      <c r="J48" s="10" t="str">
        <f aca="false">IF(OR(D48="",G48&lt;&gt;""),"",IF($B$1&gt;=F48+30,"E",IF($B$1&gt;=F48+14,"D",IF($B$1&gt;=F48+7,"C",IF($B$1&gt;=F48,"B",IF($B$1&gt;=F48-3,"A","—"))))))</f>
        <v/>
      </c>
      <c r="K48" s="5"/>
      <c r="L48" s="9" t="str">
        <f aca="false">IF(OR(J48="",J48="—"),"",IF(K48="","Send "&amp;J48,IF(CODE(J48)&gt;CODE(K48),"Send "&amp;J48,"Up to date")))</f>
        <v/>
      </c>
    </row>
    <row r="49" customFormat="false" ht="15" hidden="false" customHeight="false" outlineLevel="0" collapsed="false">
      <c r="A49" s="5"/>
      <c r="B49" s="5"/>
      <c r="C49" s="6"/>
      <c r="D49" s="7"/>
      <c r="E49" s="5"/>
      <c r="F49" s="8" t="str">
        <f aca="false">IF(D49="","",D49+E49)</f>
        <v/>
      </c>
      <c r="G49" s="7"/>
      <c r="H49" s="9" t="str">
        <f aca="false">IF(D49="","",IF(G49&lt;&gt;"","Paid",IF($B$1&lt;F49,"Not due",IF($B$1=F49,"Due today","Overdue"))))</f>
        <v/>
      </c>
      <c r="I49" s="10" t="str">
        <f aca="false">IF(OR(D49="",G49&lt;&gt;""),"",MAX(0,$B$1-F49))</f>
        <v/>
      </c>
      <c r="J49" s="10" t="str">
        <f aca="false">IF(OR(D49="",G49&lt;&gt;""),"",IF($B$1&gt;=F49+30,"E",IF($B$1&gt;=F49+14,"D",IF($B$1&gt;=F49+7,"C",IF($B$1&gt;=F49,"B",IF($B$1&gt;=F49-3,"A","—"))))))</f>
        <v/>
      </c>
      <c r="K49" s="5"/>
      <c r="L49" s="9" t="str">
        <f aca="false">IF(OR(J49="",J49="—"),"",IF(K49="","Send "&amp;J49,IF(CODE(J49)&gt;CODE(K49),"Send "&amp;J49,"Up to date")))</f>
        <v/>
      </c>
    </row>
    <row r="50" customFormat="false" ht="15" hidden="false" customHeight="false" outlineLevel="0" collapsed="false">
      <c r="A50" s="5"/>
      <c r="B50" s="5"/>
      <c r="C50" s="6"/>
      <c r="D50" s="7"/>
      <c r="E50" s="5"/>
      <c r="F50" s="8" t="str">
        <f aca="false">IF(D50="","",D50+E50)</f>
        <v/>
      </c>
      <c r="G50" s="7"/>
      <c r="H50" s="9" t="str">
        <f aca="false">IF(D50="","",IF(G50&lt;&gt;"","Paid",IF($B$1&lt;F50,"Not due",IF($B$1=F50,"Due today","Overdue"))))</f>
        <v/>
      </c>
      <c r="I50" s="10" t="str">
        <f aca="false">IF(OR(D50="",G50&lt;&gt;""),"",MAX(0,$B$1-F50))</f>
        <v/>
      </c>
      <c r="J50" s="10" t="str">
        <f aca="false">IF(OR(D50="",G50&lt;&gt;""),"",IF($B$1&gt;=F50+30,"E",IF($B$1&gt;=F50+14,"D",IF($B$1&gt;=F50+7,"C",IF($B$1&gt;=F50,"B",IF($B$1&gt;=F50-3,"A","—"))))))</f>
        <v/>
      </c>
      <c r="K50" s="5"/>
      <c r="L50" s="9" t="str">
        <f aca="false">IF(OR(J50="",J50="—"),"",IF(K50="","Send "&amp;J50,IF(CODE(J50)&gt;CODE(K50),"Send "&amp;J50,"Up to date")))</f>
        <v/>
      </c>
    </row>
    <row r="51" customFormat="false" ht="15" hidden="false" customHeight="false" outlineLevel="0" collapsed="false">
      <c r="A51" s="5"/>
      <c r="B51" s="5"/>
      <c r="C51" s="6"/>
      <c r="D51" s="7"/>
      <c r="E51" s="5"/>
      <c r="F51" s="8" t="str">
        <f aca="false">IF(D51="","",D51+E51)</f>
        <v/>
      </c>
      <c r="G51" s="7"/>
      <c r="H51" s="9" t="str">
        <f aca="false">IF(D51="","",IF(G51&lt;&gt;"","Paid",IF($B$1&lt;F51,"Not due",IF($B$1=F51,"Due today","Overdue"))))</f>
        <v/>
      </c>
      <c r="I51" s="10" t="str">
        <f aca="false">IF(OR(D51="",G51&lt;&gt;""),"",MAX(0,$B$1-F51))</f>
        <v/>
      </c>
      <c r="J51" s="10" t="str">
        <f aca="false">IF(OR(D51="",G51&lt;&gt;""),"",IF($B$1&gt;=F51+30,"E",IF($B$1&gt;=F51+14,"D",IF($B$1&gt;=F51+7,"C",IF($B$1&gt;=F51,"B",IF($B$1&gt;=F51-3,"A","—"))))))</f>
        <v/>
      </c>
      <c r="K51" s="5"/>
      <c r="L51" s="9" t="str">
        <f aca="false">IF(OR(J51="",J51="—"),"",IF(K51="","Send "&amp;J51,IF(CODE(J51)&gt;CODE(K51),"Send "&amp;J51,"Up to date")))</f>
        <v/>
      </c>
    </row>
    <row r="52" customFormat="false" ht="15" hidden="false" customHeight="false" outlineLevel="0" collapsed="false">
      <c r="A52" s="5"/>
      <c r="B52" s="5"/>
      <c r="C52" s="6"/>
      <c r="D52" s="7"/>
      <c r="E52" s="5"/>
      <c r="F52" s="8" t="str">
        <f aca="false">IF(D52="","",D52+E52)</f>
        <v/>
      </c>
      <c r="G52" s="7"/>
      <c r="H52" s="9" t="str">
        <f aca="false">IF(D52="","",IF(G52&lt;&gt;"","Paid",IF($B$1&lt;F52,"Not due",IF($B$1=F52,"Due today","Overdue"))))</f>
        <v/>
      </c>
      <c r="I52" s="10" t="str">
        <f aca="false">IF(OR(D52="",G52&lt;&gt;""),"",MAX(0,$B$1-F52))</f>
        <v/>
      </c>
      <c r="J52" s="10" t="str">
        <f aca="false">IF(OR(D52="",G52&lt;&gt;""),"",IF($B$1&gt;=F52+30,"E",IF($B$1&gt;=F52+14,"D",IF($B$1&gt;=F52+7,"C",IF($B$1&gt;=F52,"B",IF($B$1&gt;=F52-3,"A","—"))))))</f>
        <v/>
      </c>
      <c r="K52" s="5"/>
      <c r="L52" s="9" t="str">
        <f aca="false">IF(OR(J52="",J52="—"),"",IF(K52="","Send "&amp;J52,IF(CODE(J52)&gt;CODE(K52),"Send "&amp;J52,"Up to date")))</f>
        <v/>
      </c>
    </row>
    <row r="53" customFormat="false" ht="15" hidden="false" customHeight="false" outlineLevel="0" collapsed="false">
      <c r="A53" s="5"/>
      <c r="B53" s="5"/>
      <c r="C53" s="6"/>
      <c r="D53" s="7"/>
      <c r="E53" s="5"/>
      <c r="F53" s="8" t="str">
        <f aca="false">IF(D53="","",D53+E53)</f>
        <v/>
      </c>
      <c r="G53" s="7"/>
      <c r="H53" s="9" t="str">
        <f aca="false">IF(D53="","",IF(G53&lt;&gt;"","Paid",IF($B$1&lt;F53,"Not due",IF($B$1=F53,"Due today","Overdue"))))</f>
        <v/>
      </c>
      <c r="I53" s="10" t="str">
        <f aca="false">IF(OR(D53="",G53&lt;&gt;""),"",MAX(0,$B$1-F53))</f>
        <v/>
      </c>
      <c r="J53" s="10" t="str">
        <f aca="false">IF(OR(D53="",G53&lt;&gt;""),"",IF($B$1&gt;=F53+30,"E",IF($B$1&gt;=F53+14,"D",IF($B$1&gt;=F53+7,"C",IF($B$1&gt;=F53,"B",IF($B$1&gt;=F53-3,"A","—"))))))</f>
        <v/>
      </c>
      <c r="K53" s="5"/>
      <c r="L53" s="9" t="str">
        <f aca="false">IF(OR(J53="",J53="—"),"",IF(K53="","Send "&amp;J53,IF(CODE(J53)&gt;CODE(K53),"Send "&amp;J53,"Up to date")))</f>
        <v/>
      </c>
    </row>
  </sheetData>
  <conditionalFormatting sqref="H4:H53">
    <cfRule type="expression" priority="2" aboveAverage="0" equalAverage="0" bottom="0" percent="0" rank="0" text="" dxfId="0">
      <formula>$H4="Overdue"</formula>
    </cfRule>
  </conditionalFormatting>
  <conditionalFormatting sqref="L4:L53">
    <cfRule type="expression" priority="3" aboveAverage="0" equalAverage="0" bottom="0" percent="0" rank="0" text="" dxfId="1">
      <formula>LEFT($L4,4)="Send"</formula>
    </cfRule>
  </conditionalFormatting>
  <dataValidations count="1">
    <dataValidation allowBlank="true" errorStyle="stop" operator="between" showDropDown="false" showErrorMessage="false" showInputMessage="false" sqref="K4:K53" type="list">
      <formula1>"A,B,C,D,E"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2026-09-24T21:50:17Z</dcterms:created>
  <dc:creator>openpyxl</dc:creator>
  <dc:description/>
  <dc:language>en-US</dc:language>
  <cp:lastModifiedBy/>
  <dcterms:modified xsi:type="dcterms:W3CDTF">2026-09-24T21:50:17Z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